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6" i="13" l="1"/>
  <c r="G4" i="13"/>
  <c r="H4" i="13" s="1"/>
  <c r="G3" i="13"/>
  <c r="G5" i="13" l="1"/>
  <c r="H5" i="13" s="1"/>
  <c r="H14" i="13" l="1"/>
  <c r="G13" i="13"/>
  <c r="H13" i="13" l="1"/>
  <c r="H12" i="13"/>
  <c r="H11" i="13"/>
  <c r="H10" i="13"/>
  <c r="H9" i="13"/>
  <c r="E9" i="13"/>
  <c r="G8" i="13"/>
  <c r="H8" i="13" s="1"/>
  <c r="G7" i="13"/>
  <c r="H7" i="13" s="1"/>
  <c r="H6" i="13"/>
  <c r="H3" i="13"/>
  <c r="H2" i="13"/>
</calcChain>
</file>

<file path=xl/sharedStrings.xml><?xml version="1.0" encoding="utf-8"?>
<sst xmlns="http://schemas.openxmlformats.org/spreadsheetml/2006/main" count="11046" uniqueCount="338">
  <si>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</si>
  <si>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</si>
  <si>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</si>
  <si>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</si>
  <si>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</si>
  <si>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</si>
  <si>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</si>
  <si>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</si>
  <si>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</si>
  <si>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</si>
  <si>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</si>
  <si>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</si>
  <si>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</si>
  <si>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</si>
  <si>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</si>
  <si>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</si>
  <si>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</si>
  <si>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</si>
  <si>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</si>
  <si>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</si>
  <si>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</si>
  <si>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</si>
  <si>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</si>
  <si>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</si>
  <si>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</si>
  <si>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</si>
  <si>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</si>
  <si>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</si>
  <si>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</si>
  <si>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</si>
  <si>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</si>
  <si>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</si>
  <si>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</si>
  <si>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</si>
  <si>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</si>
  <si>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</si>
  <si>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</si>
  <si>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</si>
  <si>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</si>
  <si>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</si>
  <si>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</si>
  <si>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</si>
  <si>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</si>
  <si>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</si>
  <si>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</si>
  <si>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</si>
  <si>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</si>
  <si>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</si>
  <si>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</si>
  <si>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</si>
  <si>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</si>
  <si>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</si>
  <si>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</si>
  <si>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</si>
  <si>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</si>
  <si>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</si>
  <si>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</si>
  <si>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</si>
  <si>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</si>
  <si>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</si>
  <si>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</si>
  <si>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</si>
  <si>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</si>
  <si>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</si>
  <si>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</si>
  <si>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</si>
  <si>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</si>
  <si>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</si>
  <si>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</si>
  <si>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</si>
  <si>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</si>
  <si>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</si>
  <si>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</si>
  <si>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</si>
  <si>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</si>
  <si>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</si>
  <si>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</si>
  <si>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</si>
  <si>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</si>
  <si>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</si>
  <si>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</si>
  <si>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</si>
  <si>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</si>
  <si>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</si>
  <si>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</si>
  <si>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</si>
  <si>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</si>
  <si>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</si>
  <si>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</si>
  <si>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</si>
  <si>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</si>
  <si>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</si>
  <si>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</si>
  <si>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</si>
  <si>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</si>
  <si>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</si>
  <si>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</si>
  <si>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</si>
  <si>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</si>
  <si>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</si>
  <si>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</si>
  <si>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</si>
  <si>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</si>
  <si>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</si>
  <si>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</si>
  <si>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</si>
  <si>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</si>
  <si>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</si>
  <si>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</si>
  <si>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SFG-RTHTMTRG-BONPOC-QUILT</t>
  </si>
  <si>
    <t>RMI-PVC-90</t>
  </si>
  <si>
    <t>RML-CS-PL-10.5</t>
  </si>
  <si>
    <t>SFG-RTHTMTRG-BONPOC-BP</t>
  </si>
  <si>
    <t>RTHTMTPKORG72X33X10</t>
  </si>
  <si>
    <t>RTHTMTPKORG72X39X10</t>
  </si>
  <si>
    <t>RTHTMTPKORG72X45X10</t>
  </si>
  <si>
    <t>RTHTMTPKORG72X51X10</t>
  </si>
  <si>
    <t>RTHTMTPKORG72X54X10</t>
  </si>
  <si>
    <t>RTHTMTPKORG72X57X10</t>
  </si>
  <si>
    <t>RTHTMTPKORG72X63X10</t>
  </si>
  <si>
    <t>RTHTMTPKORG72X69X10</t>
  </si>
  <si>
    <t>RTHTMTPKORG75X33X10</t>
  </si>
  <si>
    <t>RTHTMTPKORG75X39X10</t>
  </si>
  <si>
    <t>RTHTMTPKORG75X45X10</t>
  </si>
  <si>
    <t>RTHTMTPKORG75X51X10</t>
  </si>
  <si>
    <t>RTHTMTPKORG75X54X10</t>
  </si>
  <si>
    <t>RTHTMTPKORG75X57X10</t>
  </si>
  <si>
    <t>RTHTMTPKORG75X63X10</t>
  </si>
  <si>
    <t>RTHTMTPKORG75X69X10</t>
  </si>
  <si>
    <t>RTHTMTPKORG78X33X10</t>
  </si>
  <si>
    <t>RTHTMTPKORG78X39X10</t>
  </si>
  <si>
    <t>RTHTMTPKORG78X45X10</t>
  </si>
  <si>
    <t>RTHTMTPKORG78X51X10</t>
  </si>
  <si>
    <t>RTHTMTPKORG78X54X10</t>
  </si>
  <si>
    <t>RTHTMTPKORG78X57X10</t>
  </si>
  <si>
    <t>RTHTMTPKORG78X63X10</t>
  </si>
  <si>
    <t>RTHTMTPKORG78X69X10</t>
  </si>
  <si>
    <t>RTHTMTPKORG80X33X10</t>
  </si>
  <si>
    <t>RTHTMTPKORG80X39X10</t>
  </si>
  <si>
    <t>RTHTMTPKORG80X45X10</t>
  </si>
  <si>
    <t>RTHTMTPKORG80X51X10</t>
  </si>
  <si>
    <t>RTHTMTPKORG80X54X10</t>
  </si>
  <si>
    <t>RTHTMTPKORG80X57X10</t>
  </si>
  <si>
    <t>RTHTMTPKORG80X63X10</t>
  </si>
  <si>
    <t>RTHTMTPKORG80X69X10</t>
  </si>
  <si>
    <t>RTHTMTPKORG84X33X10</t>
  </si>
  <si>
    <t>RTHTMTPKORG84X39X10</t>
  </si>
  <si>
    <t>RTHTMTPKORG84X45X10</t>
  </si>
  <si>
    <t>RTHTMTPKORG84X51X10</t>
  </si>
  <si>
    <t>RTHTMTPKORG84X54X10</t>
  </si>
  <si>
    <t>RTHTMTPKORG84X57X10</t>
  </si>
  <si>
    <t>RTHTMTPKORG84X63X10</t>
  </si>
  <si>
    <t>RTHTMTPKORG84X69X10</t>
  </si>
  <si>
    <t>RTHTMTPKORG72X30X10</t>
  </si>
  <si>
    <t>RTHTMTPKORG72X36X10</t>
  </si>
  <si>
    <t>RTHTMTPKORG72X42X10</t>
  </si>
  <si>
    <t>RTHTMTPKORG72X48X10</t>
  </si>
  <si>
    <t>RTHTMTPKORG72X60X10</t>
  </si>
  <si>
    <t>RTHTMTPKORG72X66X10</t>
  </si>
  <si>
    <t>RTHTMTPKORG72X72X10</t>
  </si>
  <si>
    <t>RTHTMTPKORG75X30X10</t>
  </si>
  <si>
    <t>RTHTMTPKORG75X36X10</t>
  </si>
  <si>
    <t>RTHTMTPKORG75X42X10</t>
  </si>
  <si>
    <t>RTHTMTPKORG75X48X10</t>
  </si>
  <si>
    <t>RTHTMTPKORG75X60X10</t>
  </si>
  <si>
    <t>RTHTMTPKORG75X66X10</t>
  </si>
  <si>
    <t>RTHTMTPKORG75X72X10</t>
  </si>
  <si>
    <t>RTHTMTPKORG78X30X10</t>
  </si>
  <si>
    <t>RTHTMTPKORG78X36X10</t>
  </si>
  <si>
    <t>RTHTMTPKORG78X42X10</t>
  </si>
  <si>
    <t>RTHTMTPKORG78X48X10</t>
  </si>
  <si>
    <t>RTHTMTPKORG78X60X10</t>
  </si>
  <si>
    <t>RTHTMTPKORG78X66X10</t>
  </si>
  <si>
    <t>RTHTMTPKORG78X72X10</t>
  </si>
  <si>
    <t>RTHTMTPKORG80X30X10</t>
  </si>
  <si>
    <t>RTHTMTPKORG80X36X10</t>
  </si>
  <si>
    <t>RTHTMTPKORG80X42X10</t>
  </si>
  <si>
    <t>RTHTMTPKORG80X48X10</t>
  </si>
  <si>
    <t>RTHTMTPKORG80X60X10</t>
  </si>
  <si>
    <t>RTHTMTPKORG80X66X10</t>
  </si>
  <si>
    <t>RTHTMTPKORG80X72X10</t>
  </si>
  <si>
    <t>RTHTMTPKORG84X30X10</t>
  </si>
  <si>
    <t>RTHTMTPKORG84X36X10</t>
  </si>
  <si>
    <t>RTHTMTPKORG84X42X10</t>
  </si>
  <si>
    <t>RTHTMTPKORG84X48X10</t>
  </si>
  <si>
    <t>RTHTMTPKORG84X60X10</t>
  </si>
  <si>
    <t>RTHTMTPKORG84X66X10</t>
  </si>
  <si>
    <t>RTHTMTPKORG84X72X10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</si>
  <si>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</si>
  <si>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</si>
  <si>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</si>
  <si>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</si>
  <si>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</si>
  <si>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</si>
  <si>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</si>
  <si>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</si>
  <si>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</si>
  <si>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</si>
  <si>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</si>
  <si>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</si>
  <si>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</si>
  <si>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</si>
  <si>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</si>
  <si>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</si>
  <si>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</si>
  <si>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</si>
  <si>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</si>
  <si>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</si>
  <si>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</si>
  <si>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</si>
  <si>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</si>
  <si>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</si>
  <si>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</si>
  <si>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</si>
  <si>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</si>
  <si>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</si>
  <si>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</si>
  <si>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</si>
  <si>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</si>
  <si>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</si>
  <si>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</si>
  <si>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</si>
  <si>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</si>
  <si>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</si>
  <si>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</si>
  <si>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</si>
  <si>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</si>
  <si>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</si>
  <si>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</si>
  <si>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</si>
  <si>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</si>
  <si>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</si>
  <si>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</si>
  <si>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</si>
  <si>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</si>
  <si>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</si>
  <si>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</si>
  <si>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</si>
  <si>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</si>
  <si>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</si>
  <si>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</si>
  <si>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</si>
  <si>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</si>
  <si>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</si>
  <si>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</si>
  <si>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</si>
  <si>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</si>
  <si>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</si>
  <si>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</si>
  <si>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</si>
  <si>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</si>
  <si>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</si>
  <si>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</si>
  <si>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</si>
  <si>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</si>
  <si>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</si>
  <si>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</si>
  <si>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</si>
  <si>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</si>
  <si>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</si>
  <si>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</si>
  <si>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</si>
  <si>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</si>
  <si>
    <t>60D-MAT-RB-FOAM-71.50X32.50X15MM</t>
  </si>
  <si>
    <t>60D-MAT-RB-FOAM-71.50X38.50X15MM</t>
  </si>
  <si>
    <t>60D-MAT-RB-FOAM-71.50X44.50X15MM</t>
  </si>
  <si>
    <t>60D-MAT-RB-FOAM-71.50X50.50X15MM</t>
  </si>
  <si>
    <t>60D-MAT-RB-FOAM-71.50X53.50X15MM</t>
  </si>
  <si>
    <t>60D-MAT-RB-FOAM-71.50X56.50X15MM</t>
  </si>
  <si>
    <t>60D-MAT-RB-FOAM-71.50X62.50X15MM</t>
  </si>
  <si>
    <t>60D-MAT-RB-FOAM-71.50X68.50X15MM</t>
  </si>
  <si>
    <t>60D-MAT-RB-FOAM-74.50X32.50X15MM</t>
  </si>
  <si>
    <t>60D-MAT-RB-FOAM-74.50X38.50X15MM</t>
  </si>
  <si>
    <t>60D-MAT-RB-FOAM-74.50X44.50X15MM</t>
  </si>
  <si>
    <t>60D-MAT-RB-FOAM-74.50X50.50X15MM</t>
  </si>
  <si>
    <t>60D-MAT-RB-FOAM-74.50X53.50X15MM</t>
  </si>
  <si>
    <t>60D-MAT-RB-FOAM-74.50X56.50X15MM</t>
  </si>
  <si>
    <t>60D-MAT-RB-FOAM-74.50X62.50X15MM</t>
  </si>
  <si>
    <t>60D-MAT-RB-FOAM-74.50X68.50X15MM</t>
  </si>
  <si>
    <t>60D-MAT-RB-FOAM-77.50X32.50X15MM</t>
  </si>
  <si>
    <t>60D-MAT-RB-FOAM-77.50X38.50X15MM</t>
  </si>
  <si>
    <t>60D-MAT-RB-FOAM-77.50X44.50X15MM</t>
  </si>
  <si>
    <t>60D-MAT-RB-FOAM-77.50X50.50X15MM</t>
  </si>
  <si>
    <t>60D-MAT-RB-FOAM-77.50X53.50X15MM</t>
  </si>
  <si>
    <t>60D-MAT-RB-FOAM-77.50X56.50X15MM</t>
  </si>
  <si>
    <t>60D-MAT-RB-FOAM-77.50X62.50X15MM</t>
  </si>
  <si>
    <t>60D-MAT-RB-FOAM-77.50X68.50X15MM</t>
  </si>
  <si>
    <t>60D-MAT-RB-FOAM-79.50X32.50X15MM</t>
  </si>
  <si>
    <t>60D-MAT-RB-FOAM-79.50X38.50X15MM</t>
  </si>
  <si>
    <t>60D-MAT-RB-FOAM-79.50X44.50X15MM</t>
  </si>
  <si>
    <t>60D-MAT-RB-FOAM-79.50X50.50X15MM</t>
  </si>
  <si>
    <t>60D-MAT-RB-FOAM-79.50X53.50X15MM</t>
  </si>
  <si>
    <t>60D-MAT-RB-FOAM-79.50X56.50X15MM</t>
  </si>
  <si>
    <t>60D-MAT-RB-FOAM-79.50X62.50X15MM</t>
  </si>
  <si>
    <t>60D-MAT-RB-FOAM-79.50X68.50X15MM</t>
  </si>
  <si>
    <t>60D-MAT-RB-FOAM-83.50X32.50X15MM</t>
  </si>
  <si>
    <t>60D-MAT-RB-FOAM-83.50X38.50X15MM</t>
  </si>
  <si>
    <t>60D-MAT-RB-FOAM-83.50X44.50X15MM</t>
  </si>
  <si>
    <t>60D-MAT-RB-FOAM-83.50X50.50X15MM</t>
  </si>
  <si>
    <t>60D-MAT-RB-FOAM-83.50X53.50X15MM</t>
  </si>
  <si>
    <t>60D-MAT-RB-FOAM-83.50X56.50X15MM</t>
  </si>
  <si>
    <t>60D-MAT-RB-FOAM-83.50X62.50X15MM</t>
  </si>
  <si>
    <t>60D-MAT-RB-FOAM-83.50X68.50X15MM</t>
  </si>
  <si>
    <t>60D-MAT-RB-FOAM-71.50X29.50X15MM</t>
  </si>
  <si>
    <t>60D-MAT-RB-FOAM-71.50X35.50X15MM</t>
  </si>
  <si>
    <t>60D-MAT-RB-FOAM-71.50X41.50X15MM</t>
  </si>
  <si>
    <t>60D-MAT-RB-FOAM-71.50X47.50X15MM</t>
  </si>
  <si>
    <t>60D-MAT-RB-FOAM-71.50X59.50X15MM</t>
  </si>
  <si>
    <t>60D-MAT-RB-FOAM-71.50X65.50X15MM</t>
  </si>
  <si>
    <t>60D-MAT-RB-FOAM-71.50X71.50X15MM</t>
  </si>
  <si>
    <t>60D-MAT-RB-FOAM-74.50X29.50X15MM</t>
  </si>
  <si>
    <t>60D-MAT-RB-FOAM-74.50X35.50X15MM</t>
  </si>
  <si>
    <t>60D-MAT-RB-FOAM-74.50X41.50X15MM</t>
  </si>
  <si>
    <t>60D-MAT-RB-FOAM-74.50X47.50X15MM</t>
  </si>
  <si>
    <t>60D-MAT-RB-FOAM-74.50X59.50X15MM</t>
  </si>
  <si>
    <t>60D-MAT-RB-FOAM-74.50X65.50X15MM</t>
  </si>
  <si>
    <t>60D-MAT-RB-FOAM-74.50X71.50X15MM</t>
  </si>
  <si>
    <t>60D-MAT-RB-FOAM-77.50X29.50X15MM</t>
  </si>
  <si>
    <t>60D-MAT-RB-FOAM-77.50X35.50X15MM</t>
  </si>
  <si>
    <t>60D-MAT-RB-FOAM-77.50X41.50X15MM</t>
  </si>
  <si>
    <t>60D-MAT-RB-FOAM-77.50X47.50X15MM</t>
  </si>
  <si>
    <t>60D-MAT-RB-FOAM-77.50X59.50X15MM</t>
  </si>
  <si>
    <t>60D-MAT-RB-FOAM-77.50X65.50X15MM</t>
  </si>
  <si>
    <t>60D-MAT-RB-FOAM-77.50X71.50X15MM</t>
  </si>
  <si>
    <t>60D-MAT-RB-FOAM-79.50X29.50X15MM</t>
  </si>
  <si>
    <t>60D-MAT-RB-FOAM-79.50X35.50X15MM</t>
  </si>
  <si>
    <t>60D-MAT-RB-FOAM-79.50X41.50X15MM</t>
  </si>
  <si>
    <t>60D-MAT-RB-FOAM-79.50X47.50X15MM</t>
  </si>
  <si>
    <t>60D-MAT-RB-FOAM-79.50X59.50X15MM</t>
  </si>
  <si>
    <t>60D-MAT-RB-FOAM-79.50X65.50X15MM</t>
  </si>
  <si>
    <t>60D-MAT-RB-FOAM-79.50X71.50X15MM</t>
  </si>
  <si>
    <t>60D-MAT-RB-FOAM-83.50X29.50X15MM</t>
  </si>
  <si>
    <t>60D-MAT-RB-FOAM-83.50X35.50X15MM</t>
  </si>
  <si>
    <t>60D-MAT-RB-FOAM-83.50X41.50X15MM</t>
  </si>
  <si>
    <t>60D-MAT-RB-FOAM-83.50X47.50X15MM</t>
  </si>
  <si>
    <t>60D-MAT-RB-FOAM-83.50X59.50X15MM</t>
  </si>
  <si>
    <t>60D-MAT-RB-FOAM-83.50X65.50X15MM</t>
  </si>
  <si>
    <t>60D-MAT-RB-FOAM-83.50X71.50X15MM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</si>
</sst>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" style="16" bestFit="1" customWidth="1"/>
    <col min="5" max="5" width="37.14062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"RTHTMTPKORG"&amp;$K$2&amp;"X"&amp;$L$2&amp;"X"&amp;IF($M$2&gt;9,$M$2,"0"&amp;$M$2)</f>
        <v>RTHTMTPKORG75X36X10</v>
      </c>
      <c r="E2" s="1" t="str">
        <f>"OEPKBOXSR"&amp;(K2-0.5)&amp;"0"&amp;"X"&amp;(L2-0.5)&amp;"0"&amp;"X"&amp;IF(M2=6,"110",IF(M2=8,"160",IF(M2&gt;9,"220",0)))</f>
        <v>OEPKBOXSR74.50X35.50X220</v>
      </c>
      <c r="F2" s="11" t="s">
        <v>11</v>
      </c>
      <c r="G2" s="10">
        <v>1</v>
      </c>
      <c r="H2" s="10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7">
        <v>10</v>
      </c>
      <c r="N2" s="6"/>
      <c r="P2" s="4" t="s">
        <v>91</v>
      </c>
      <c r="R2" s="34" t="s">
        <v>92</v>
      </c>
      <c r="S2" s="34" t="s">
        <v>93</v>
      </c>
      <c r="T2" s="34">
        <v>10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1">"RTHTMTPKORG"&amp;$K$2&amp;"X"&amp;$L$2&amp;"X"&amp;IF($M$2&gt;9,$M$2,"0"&amp;$M$2)</f>
        <v>RTHTMTPKORG75X36X10</v>
      </c>
      <c r="E3" s="19" t="s">
        <v>109</v>
      </c>
      <c r="F3" s="11" t="s">
        <v>15</v>
      </c>
      <c r="G3" s="26">
        <f>IF(K2&lt;79,(L2+1),IF(L2&lt;37,(K2+1),(K2+1)))*0.0254</f>
        <v>0.93979999999999997</v>
      </c>
      <c r="H3" s="10">
        <f>ROUND(G3,3)</f>
        <v>0.94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10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RTHTMTPKORG75X36X10</v>
      </c>
      <c r="E4" s="41" t="s">
        <v>112</v>
      </c>
      <c r="F4" s="11" t="s">
        <v>15</v>
      </c>
      <c r="G4" s="16">
        <f>IF(K2&lt;79,(L2+1),IF(L2&lt;37,(K2+1),(K2+1)))*0.0254</f>
        <v>0.93979999999999997</v>
      </c>
      <c r="H4" s="10">
        <f>ROUND(G4,3)</f>
        <v>0.94</v>
      </c>
      <c r="I4" s="20" t="s">
        <v>16</v>
      </c>
      <c r="J4" s="12"/>
      <c r="O4" s="18"/>
      <c r="R4" s="34" t="s">
        <v>92</v>
      </c>
      <c r="S4" s="34" t="s">
        <v>95</v>
      </c>
      <c r="T4" s="34">
        <v>10</v>
      </c>
      <c r="U4" s="35" t="s">
        <v>108</v>
      </c>
    </row>
    <row r="5" spans="1:21" x14ac:dyDescent="0.25">
      <c r="A5" s="36">
        <v>4</v>
      </c>
      <c r="B5" s="7" t="s">
        <v>17</v>
      </c>
      <c r="C5" s="7" t="s">
        <v>17</v>
      </c>
      <c r="D5" s="7" t="str">
        <f t="shared" si="1"/>
        <v>RTHTMTPKORG75X36X10</v>
      </c>
      <c r="E5" s="21" t="s">
        <v>18</v>
      </c>
      <c r="F5" s="40" t="s">
        <v>15</v>
      </c>
      <c r="G5" s="16">
        <f>(K2+L2+1.5)*4*0.0254*8</f>
        <v>91.44</v>
      </c>
      <c r="H5" s="10">
        <f>ROUND(G5,3)</f>
        <v>91.44</v>
      </c>
      <c r="I5" s="8" t="s">
        <v>14</v>
      </c>
      <c r="J5" s="12"/>
      <c r="O5" s="18"/>
      <c r="R5" s="34" t="s">
        <v>92</v>
      </c>
      <c r="S5" s="34" t="s">
        <v>96</v>
      </c>
      <c r="T5" s="34">
        <v>10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RTHTMTPKORG75X36X10</v>
      </c>
      <c r="E6" s="21" t="s">
        <v>105</v>
      </c>
      <c r="F6" s="15" t="s">
        <v>106</v>
      </c>
      <c r="G6" s="23">
        <f>((K2-1)*(L2-1)/144)*0.00729*3</f>
        <v>0.39335624999999996</v>
      </c>
      <c r="H6" s="10">
        <f t="shared" ref="H6:H13" si="2">ROUND(G6,3)</f>
        <v>0.39300000000000002</v>
      </c>
      <c r="I6" s="8" t="s">
        <v>14</v>
      </c>
      <c r="J6" s="12"/>
      <c r="R6" s="34" t="s">
        <v>92</v>
      </c>
      <c r="S6" s="34" t="s">
        <v>97</v>
      </c>
      <c r="T6" s="34">
        <v>10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RTHTMTPKORG75X36X10</v>
      </c>
      <c r="E7" s="21" t="s">
        <v>107</v>
      </c>
      <c r="F7" s="11" t="s">
        <v>15</v>
      </c>
      <c r="G7" s="10">
        <f>(K2+L2+4)*2*0.0254*2</f>
        <v>11.683999999999999</v>
      </c>
      <c r="H7" s="10">
        <f t="shared" si="2"/>
        <v>11.683999999999999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10</v>
      </c>
      <c r="U7" s="35" t="s">
        <v>108</v>
      </c>
    </row>
    <row r="8" spans="1:21" x14ac:dyDescent="0.25">
      <c r="A8" s="36">
        <v>7</v>
      </c>
      <c r="B8" s="7" t="s">
        <v>19</v>
      </c>
      <c r="C8" s="7" t="s">
        <v>19</v>
      </c>
      <c r="D8" s="7" t="str">
        <f t="shared" si="1"/>
        <v>RTHTMTPKORG75X36X10</v>
      </c>
      <c r="E8" s="21" t="s">
        <v>18</v>
      </c>
      <c r="F8" s="11" t="s">
        <v>15</v>
      </c>
      <c r="G8" s="10">
        <f>(K2+L2+4)*2*0.0254*(4.73+1.42)*2</f>
        <v>71.8566</v>
      </c>
      <c r="H8" s="10">
        <f t="shared" si="2"/>
        <v>71.856999999999999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10</v>
      </c>
      <c r="U8" s="35" t="s">
        <v>108</v>
      </c>
    </row>
    <row r="9" spans="1:21" x14ac:dyDescent="0.25">
      <c r="A9" s="36">
        <v>8</v>
      </c>
      <c r="B9" s="7" t="s">
        <v>20</v>
      </c>
      <c r="C9" s="9" t="s">
        <v>20</v>
      </c>
      <c r="D9" s="7" t="str">
        <f t="shared" si="1"/>
        <v>RTHTMTPKORG75X36X10</v>
      </c>
      <c r="E9" s="21" t="str">
        <f>IF(M2=6,"RML-CS-PL-6.5""",IF(M2=8,"RML-CS-PL-8.5",IF(M2=10,"RML-CS-PL-10.5",IF(M2=12,"RML-CS-PL-12.25"))))</f>
        <v>RML-CS-PL-10.5</v>
      </c>
      <c r="F9" s="11" t="s">
        <v>11</v>
      </c>
      <c r="G9" s="10">
        <v>4</v>
      </c>
      <c r="H9" s="10">
        <f t="shared" si="2"/>
        <v>4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10</v>
      </c>
      <c r="U9" s="35" t="s">
        <v>108</v>
      </c>
    </row>
    <row r="10" spans="1:21" x14ac:dyDescent="0.25">
      <c r="A10" s="36">
        <v>9</v>
      </c>
      <c r="B10" s="7" t="s">
        <v>19</v>
      </c>
      <c r="C10" s="7" t="s">
        <v>19</v>
      </c>
      <c r="D10" s="7" t="str">
        <f t="shared" si="1"/>
        <v>RTHTMTPKORG75X36X10</v>
      </c>
      <c r="E10" s="21" t="s">
        <v>21</v>
      </c>
      <c r="F10" s="11" t="s">
        <v>11</v>
      </c>
      <c r="G10" s="10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10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RTHTMTPKORG75X36X10</v>
      </c>
      <c r="E11" s="21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10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RTHTMTPKORG75X36X10</v>
      </c>
      <c r="E12" s="21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10</v>
      </c>
      <c r="U12" s="35" t="s">
        <v>108</v>
      </c>
    </row>
    <row r="13" spans="1:21" x14ac:dyDescent="0.25">
      <c r="A13" s="36">
        <v>12</v>
      </c>
      <c r="B13" s="7" t="s">
        <v>20</v>
      </c>
      <c r="C13" s="9" t="s">
        <v>20</v>
      </c>
      <c r="D13" s="7" t="str">
        <f t="shared" si="1"/>
        <v>RTHTMTPKORG75X36X10</v>
      </c>
      <c r="E13" s="18" t="s">
        <v>110</v>
      </c>
      <c r="F13" s="11" t="s">
        <v>13</v>
      </c>
      <c r="G13" s="24">
        <f>IF(K2&lt;76,((L2*2)+(M2*2)+4),((K2*2)+(M2*2)+4))*0.0254*89.5*0.0254*0.00009*1300</f>
        <v>0.64855612223999992</v>
      </c>
      <c r="H13" s="10">
        <f t="shared" si="2"/>
        <v>0.64900000000000002</v>
      </c>
      <c r="I13" s="8" t="s">
        <v>14</v>
      </c>
      <c r="J13" s="12"/>
      <c r="K13" s="22"/>
      <c r="R13" s="34" t="s">
        <v>101</v>
      </c>
      <c r="S13" s="34" t="s">
        <v>96</v>
      </c>
      <c r="T13" s="34">
        <v>10</v>
      </c>
      <c r="U13" s="35" t="s">
        <v>108</v>
      </c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1"/>
        <v>RTHTMTPKORG75X36X10</v>
      </c>
      <c r="E14" s="39" t="str">
        <f>"60D-MAT-RB-FOAM-"&amp;(K2-0.5)&amp;"0"&amp;"X"&amp;(L2-0.5)&amp;"0"&amp;"X15MM"</f>
        <v>60D-MAT-RB-FOAM-74.50X35.50X15MM</v>
      </c>
      <c r="F14" s="8" t="s">
        <v>11</v>
      </c>
      <c r="G14" s="14">
        <v>1</v>
      </c>
      <c r="H14" s="10">
        <f t="shared" ref="H14" si="3">ROUND(G14,3)</f>
        <v>1</v>
      </c>
      <c r="I14" s="20" t="s">
        <v>16</v>
      </c>
      <c r="J14" s="12"/>
      <c r="M14" s="22"/>
      <c r="O14" s="22"/>
      <c r="R14" s="34" t="s">
        <v>101</v>
      </c>
      <c r="S14" s="34" t="s">
        <v>97</v>
      </c>
      <c r="T14" s="34">
        <v>10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10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10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10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10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10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10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10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10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10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10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10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10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10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10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10</v>
      </c>
      <c r="U29" s="35" t="s">
        <v>108</v>
      </c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10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10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10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10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10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10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10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10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10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10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10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10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10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10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10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10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10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10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10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10</v>
      </c>
      <c r="U49" s="35"/>
    </row>
    <row r="50" spans="14:21" x14ac:dyDescent="0.25">
      <c r="R50" s="34">
        <v>75</v>
      </c>
      <c r="S50" s="34">
        <v>36</v>
      </c>
      <c r="T50" s="34">
        <v>10</v>
      </c>
      <c r="U50" s="35"/>
    </row>
    <row r="51" spans="14:21" x14ac:dyDescent="0.25">
      <c r="R51" s="34">
        <v>75</v>
      </c>
      <c r="S51" s="34">
        <v>42</v>
      </c>
      <c r="T51" s="34">
        <v>10</v>
      </c>
      <c r="U51" s="35"/>
    </row>
    <row r="52" spans="14:21" x14ac:dyDescent="0.25">
      <c r="R52" s="34">
        <v>75</v>
      </c>
      <c r="S52" s="34">
        <v>48</v>
      </c>
      <c r="T52" s="34">
        <v>10</v>
      </c>
      <c r="U52" s="35"/>
    </row>
    <row r="53" spans="14:21" x14ac:dyDescent="0.25">
      <c r="R53" s="34">
        <v>75</v>
      </c>
      <c r="S53" s="34">
        <v>60</v>
      </c>
      <c r="T53" s="34">
        <v>10</v>
      </c>
      <c r="U53" s="35"/>
    </row>
    <row r="54" spans="14:21" x14ac:dyDescent="0.25">
      <c r="R54" s="34">
        <v>75</v>
      </c>
      <c r="S54" s="34">
        <v>66</v>
      </c>
      <c r="T54" s="34">
        <v>10</v>
      </c>
      <c r="U54" s="35"/>
    </row>
    <row r="55" spans="14:21" x14ac:dyDescent="0.25">
      <c r="R55" s="34">
        <v>75</v>
      </c>
      <c r="S55" s="34">
        <v>72</v>
      </c>
      <c r="T55" s="34">
        <v>10</v>
      </c>
      <c r="U55" s="35"/>
    </row>
    <row r="56" spans="14:21" x14ac:dyDescent="0.25">
      <c r="R56" s="34">
        <v>78</v>
      </c>
      <c r="S56" s="34">
        <v>30</v>
      </c>
      <c r="T56" s="34">
        <v>10</v>
      </c>
      <c r="U56" s="35"/>
    </row>
    <row r="57" spans="14:21" x14ac:dyDescent="0.25">
      <c r="R57" s="34">
        <v>78</v>
      </c>
      <c r="S57" s="34">
        <v>36</v>
      </c>
      <c r="T57" s="34">
        <v>10</v>
      </c>
      <c r="U57" s="35"/>
    </row>
    <row r="58" spans="14:21" x14ac:dyDescent="0.25">
      <c r="R58" s="34">
        <v>78</v>
      </c>
      <c r="S58" s="34">
        <v>42</v>
      </c>
      <c r="T58" s="34">
        <v>10</v>
      </c>
      <c r="U58" s="35"/>
    </row>
    <row r="59" spans="14:21" x14ac:dyDescent="0.25">
      <c r="R59" s="34">
        <v>78</v>
      </c>
      <c r="S59" s="34">
        <v>48</v>
      </c>
      <c r="T59" s="34">
        <v>10</v>
      </c>
      <c r="U59" s="35"/>
    </row>
    <row r="60" spans="14:21" x14ac:dyDescent="0.25">
      <c r="R60" s="34">
        <v>78</v>
      </c>
      <c r="S60" s="34">
        <v>60</v>
      </c>
      <c r="T60" s="34">
        <v>10</v>
      </c>
      <c r="U60" s="35"/>
    </row>
    <row r="61" spans="14:21" x14ac:dyDescent="0.25">
      <c r="R61" s="34">
        <v>78</v>
      </c>
      <c r="S61" s="34">
        <v>66</v>
      </c>
      <c r="T61" s="34">
        <v>10</v>
      </c>
      <c r="U61" s="35"/>
    </row>
    <row r="62" spans="14:21" x14ac:dyDescent="0.25">
      <c r="R62" s="34">
        <v>78</v>
      </c>
      <c r="S62" s="34">
        <v>72</v>
      </c>
      <c r="T62" s="34">
        <v>10</v>
      </c>
      <c r="U62" s="35"/>
    </row>
    <row r="63" spans="14:21" x14ac:dyDescent="0.25">
      <c r="R63" s="34">
        <v>80</v>
      </c>
      <c r="S63" s="34">
        <v>30</v>
      </c>
      <c r="T63" s="34">
        <v>10</v>
      </c>
      <c r="U63" s="35"/>
    </row>
    <row r="64" spans="14:21" x14ac:dyDescent="0.25">
      <c r="R64" s="34">
        <v>80</v>
      </c>
      <c r="S64" s="34">
        <v>36</v>
      </c>
      <c r="T64" s="34">
        <v>10</v>
      </c>
      <c r="U64" s="35"/>
    </row>
    <row r="65" spans="18:21" x14ac:dyDescent="0.25">
      <c r="R65" s="34">
        <v>80</v>
      </c>
      <c r="S65" s="34">
        <v>42</v>
      </c>
      <c r="T65" s="34">
        <v>10</v>
      </c>
      <c r="U65" s="35"/>
    </row>
    <row r="66" spans="18:21" x14ac:dyDescent="0.25">
      <c r="R66" s="34">
        <v>80</v>
      </c>
      <c r="S66" s="34">
        <v>48</v>
      </c>
      <c r="T66" s="34">
        <v>10</v>
      </c>
      <c r="U66" s="35"/>
    </row>
    <row r="67" spans="18:21" x14ac:dyDescent="0.25">
      <c r="R67" s="34">
        <v>80</v>
      </c>
      <c r="S67" s="34">
        <v>60</v>
      </c>
      <c r="T67" s="34">
        <v>10</v>
      </c>
      <c r="U67" s="35"/>
    </row>
    <row r="68" spans="18:21" x14ac:dyDescent="0.25">
      <c r="R68" s="34">
        <v>80</v>
      </c>
      <c r="S68" s="34">
        <v>66</v>
      </c>
      <c r="T68" s="34">
        <v>10</v>
      </c>
      <c r="U68" s="35"/>
    </row>
    <row r="69" spans="18:21" x14ac:dyDescent="0.25">
      <c r="R69" s="34">
        <v>80</v>
      </c>
      <c r="S69" s="34">
        <v>72</v>
      </c>
      <c r="T69" s="34">
        <v>10</v>
      </c>
      <c r="U69" s="35"/>
    </row>
    <row r="70" spans="18:21" x14ac:dyDescent="0.25">
      <c r="R70" s="34">
        <v>84</v>
      </c>
      <c r="S70" s="34">
        <v>30</v>
      </c>
      <c r="T70" s="34">
        <v>10</v>
      </c>
      <c r="U70" s="35"/>
    </row>
    <row r="71" spans="18:21" x14ac:dyDescent="0.25">
      <c r="R71" s="34">
        <v>84</v>
      </c>
      <c r="S71" s="34">
        <v>36</v>
      </c>
      <c r="T71" s="34">
        <v>10</v>
      </c>
      <c r="U71" s="35"/>
    </row>
    <row r="72" spans="18:21" x14ac:dyDescent="0.25">
      <c r="R72" s="34">
        <v>84</v>
      </c>
      <c r="S72" s="34">
        <v>42</v>
      </c>
      <c r="T72" s="34">
        <v>10</v>
      </c>
      <c r="U72" s="35"/>
    </row>
    <row r="73" spans="18:21" x14ac:dyDescent="0.25">
      <c r="R73" s="34">
        <v>84</v>
      </c>
      <c r="S73" s="34">
        <v>48</v>
      </c>
      <c r="T73" s="34">
        <v>10</v>
      </c>
      <c r="U73" s="35"/>
    </row>
    <row r="74" spans="18:21" x14ac:dyDescent="0.25">
      <c r="R74" s="34">
        <v>84</v>
      </c>
      <c r="S74" s="34">
        <v>60</v>
      </c>
      <c r="T74" s="34">
        <v>10</v>
      </c>
      <c r="U74" s="35"/>
    </row>
    <row r="75" spans="18:21" x14ac:dyDescent="0.25">
      <c r="R75" s="34">
        <v>84</v>
      </c>
      <c r="S75" s="34">
        <v>66</v>
      </c>
      <c r="T75" s="34">
        <v>10</v>
      </c>
      <c r="U75" s="35"/>
    </row>
    <row r="76" spans="18:21" x14ac:dyDescent="0.25">
      <c r="R76" s="34">
        <v>84</v>
      </c>
      <c r="S76" s="34">
        <v>72</v>
      </c>
      <c r="T76" s="34">
        <v>10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113</v>
      </c>
      <c r="C2">
        <v>10</v>
      </c>
      <c r="D2" t="s">
        <v>188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105</v>
      </c>
      <c r="E6" t="s">
        <v>106</v>
      </c>
      <c r="F6">
        <v>0.34499999999999997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11.074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68.108000000000004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111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110</v>
      </c>
      <c r="E13" t="s">
        <v>13</v>
      </c>
      <c r="F13">
        <v>0.60799999999999998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263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189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109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18</v>
      </c>
      <c r="E18" t="s">
        <v>15</v>
      </c>
      <c r="F18">
        <v>91.44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105</v>
      </c>
      <c r="E19" t="s">
        <v>106</v>
      </c>
      <c r="F19">
        <v>0.41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11.683999999999999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71.856999999999999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111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110</v>
      </c>
      <c r="E26" t="s">
        <v>13</v>
      </c>
      <c r="F26">
        <v>0.68899999999999995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264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190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109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18</v>
      </c>
      <c r="E31" t="s">
        <v>15</v>
      </c>
      <c r="F31">
        <v>96.316999999999993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105</v>
      </c>
      <c r="E32" t="s">
        <v>106</v>
      </c>
      <c r="F32">
        <v>0.47399999999999998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12.294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75.605999999999995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111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110</v>
      </c>
      <c r="E39" t="s">
        <v>13</v>
      </c>
      <c r="F39">
        <v>0.77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265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191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109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18</v>
      </c>
      <c r="E44" t="s">
        <v>15</v>
      </c>
      <c r="F44">
        <v>101.194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105</v>
      </c>
      <c r="E45" t="s">
        <v>106</v>
      </c>
      <c r="F45">
        <v>0.53900000000000003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12.903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79.355000000000004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111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110</v>
      </c>
      <c r="E52" t="s">
        <v>13</v>
      </c>
      <c r="F52">
        <v>0.85099999999999998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266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192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109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18</v>
      </c>
      <c r="E57" t="s">
        <v>15</v>
      </c>
      <c r="F57">
        <v>103.63200000000001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105</v>
      </c>
      <c r="E58" t="s">
        <v>106</v>
      </c>
      <c r="F58">
        <v>0.57199999999999995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13.208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81.228999999999999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111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110</v>
      </c>
      <c r="E65" t="s">
        <v>13</v>
      </c>
      <c r="F65">
        <v>0.89200000000000002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267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193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109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18</v>
      </c>
      <c r="E70" t="s">
        <v>15</v>
      </c>
      <c r="F70">
        <v>106.07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105</v>
      </c>
      <c r="E71" t="s">
        <v>106</v>
      </c>
      <c r="F71">
        <v>0.60399999999999998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13.513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83.103999999999999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111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110</v>
      </c>
      <c r="E78" t="s">
        <v>13</v>
      </c>
      <c r="F78">
        <v>0.93200000000000005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268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194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109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18</v>
      </c>
      <c r="E83" t="s">
        <v>15</v>
      </c>
      <c r="F83">
        <v>110.947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105</v>
      </c>
      <c r="E84" t="s">
        <v>106</v>
      </c>
      <c r="F84">
        <v>0.66900000000000004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14.122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86.852999999999994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111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110</v>
      </c>
      <c r="E91" t="s">
        <v>13</v>
      </c>
      <c r="F91">
        <v>1.0129999999999999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269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195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109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18</v>
      </c>
      <c r="E96" t="s">
        <v>15</v>
      </c>
      <c r="F96">
        <v>115.824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105</v>
      </c>
      <c r="E97" t="s">
        <v>106</v>
      </c>
      <c r="F97">
        <v>0.73299999999999998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14.731999999999999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90.602000000000004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111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110</v>
      </c>
      <c r="E104" t="s">
        <v>13</v>
      </c>
      <c r="F104">
        <v>1.0940000000000001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270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196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109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18</v>
      </c>
      <c r="E109" t="s">
        <v>15</v>
      </c>
      <c r="F109">
        <v>89.001999999999995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105</v>
      </c>
      <c r="E110" t="s">
        <v>106</v>
      </c>
      <c r="F110">
        <v>0.36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11.379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69.981999999999999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111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110</v>
      </c>
      <c r="E117" t="s">
        <v>13</v>
      </c>
      <c r="F117">
        <v>0.60799999999999998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271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197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109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18</v>
      </c>
      <c r="E122" t="s">
        <v>15</v>
      </c>
      <c r="F122">
        <v>93.878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105</v>
      </c>
      <c r="E123" t="s">
        <v>106</v>
      </c>
      <c r="F123">
        <v>0.42699999999999999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11.989000000000001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73.730999999999995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111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110</v>
      </c>
      <c r="E130" t="s">
        <v>13</v>
      </c>
      <c r="F130">
        <v>0.68899999999999995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272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198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109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18</v>
      </c>
      <c r="E135" t="s">
        <v>15</v>
      </c>
      <c r="F135">
        <v>98.754999999999995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105</v>
      </c>
      <c r="E136" t="s">
        <v>106</v>
      </c>
      <c r="F136">
        <v>0.495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12.598000000000001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77.48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111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110</v>
      </c>
      <c r="E143" t="s">
        <v>13</v>
      </c>
      <c r="F143">
        <v>0.77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273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199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109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18</v>
      </c>
      <c r="E148" t="s">
        <v>15</v>
      </c>
      <c r="F148">
        <v>103.63200000000001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105</v>
      </c>
      <c r="E149" t="s">
        <v>106</v>
      </c>
      <c r="F149">
        <v>0.56200000000000006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13.208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81.228999999999999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110</v>
      </c>
      <c r="E156" t="s">
        <v>13</v>
      </c>
      <c r="F156">
        <v>0.85099999999999998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274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200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109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18</v>
      </c>
      <c r="E161" t="s">
        <v>15</v>
      </c>
      <c r="F161">
        <v>106.07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105</v>
      </c>
      <c r="E162" t="s">
        <v>106</v>
      </c>
      <c r="F162">
        <v>0.59599999999999997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13.513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83.103999999999999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111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110</v>
      </c>
      <c r="E169" t="s">
        <v>13</v>
      </c>
      <c r="F169">
        <v>0.89200000000000002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275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201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109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18</v>
      </c>
      <c r="E174" t="s">
        <v>15</v>
      </c>
      <c r="F174">
        <v>108.509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105</v>
      </c>
      <c r="E175" t="s">
        <v>106</v>
      </c>
      <c r="F175">
        <v>0.629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13.818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84.977999999999994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111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110</v>
      </c>
      <c r="E182" t="s">
        <v>13</v>
      </c>
      <c r="F182">
        <v>0.93200000000000005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276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202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109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18</v>
      </c>
      <c r="E187" t="s">
        <v>15</v>
      </c>
      <c r="F187">
        <v>113.386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105</v>
      </c>
      <c r="E188" t="s">
        <v>106</v>
      </c>
      <c r="F188">
        <v>0.69699999999999995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14.427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88.727000000000004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111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110</v>
      </c>
      <c r="E195" t="s">
        <v>13</v>
      </c>
      <c r="F195">
        <v>1.0129999999999999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277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203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109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18</v>
      </c>
      <c r="E200" t="s">
        <v>15</v>
      </c>
      <c r="F200">
        <v>118.262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105</v>
      </c>
      <c r="E201" t="s">
        <v>106</v>
      </c>
      <c r="F201">
        <v>0.76400000000000001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15.037000000000001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92.475999999999999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111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110</v>
      </c>
      <c r="E208" t="s">
        <v>13</v>
      </c>
      <c r="F208">
        <v>1.0940000000000001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278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204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109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18</v>
      </c>
      <c r="E213" t="s">
        <v>15</v>
      </c>
      <c r="F213">
        <v>91.44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105</v>
      </c>
      <c r="E214" t="s">
        <v>106</v>
      </c>
      <c r="F214">
        <v>0.374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11.683999999999999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71.856999999999999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111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110</v>
      </c>
      <c r="E221" t="s">
        <v>13</v>
      </c>
      <c r="F221">
        <v>1.216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279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205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109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18</v>
      </c>
      <c r="E226" t="s">
        <v>15</v>
      </c>
      <c r="F226">
        <v>96.316999999999993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105</v>
      </c>
      <c r="E227" t="s">
        <v>106</v>
      </c>
      <c r="F227">
        <v>0.44400000000000001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12.294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75.605999999999995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111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110</v>
      </c>
      <c r="E234" t="s">
        <v>13</v>
      </c>
      <c r="F234">
        <v>1.216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280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206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109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18</v>
      </c>
      <c r="E239" t="s">
        <v>15</v>
      </c>
      <c r="F239">
        <v>101.194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105</v>
      </c>
      <c r="E240" t="s">
        <v>106</v>
      </c>
      <c r="F240">
        <v>0.51500000000000001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12.903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79.355000000000004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110</v>
      </c>
      <c r="E247" t="s">
        <v>13</v>
      </c>
      <c r="F247">
        <v>1.216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281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207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109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18</v>
      </c>
      <c r="E252" t="s">
        <v>15</v>
      </c>
      <c r="F252">
        <v>106.07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105</v>
      </c>
      <c r="E253" t="s">
        <v>106</v>
      </c>
      <c r="F253">
        <v>0.58499999999999996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13.513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83.103999999999999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111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110</v>
      </c>
      <c r="E260" t="s">
        <v>13</v>
      </c>
      <c r="F260">
        <v>1.216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282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208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109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18</v>
      </c>
      <c r="E265" t="s">
        <v>15</v>
      </c>
      <c r="F265">
        <v>108.509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105</v>
      </c>
      <c r="E266" t="s">
        <v>106</v>
      </c>
      <c r="F266">
        <v>0.62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13.818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84.977999999999994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111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110</v>
      </c>
      <c r="E273" t="s">
        <v>13</v>
      </c>
      <c r="F273">
        <v>1.216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283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209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109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18</v>
      </c>
      <c r="E278" t="s">
        <v>15</v>
      </c>
      <c r="F278">
        <v>110.947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105</v>
      </c>
      <c r="E279" t="s">
        <v>106</v>
      </c>
      <c r="F279">
        <v>0.65500000000000003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14.122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86.852999999999994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111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110</v>
      </c>
      <c r="E286" t="s">
        <v>13</v>
      </c>
      <c r="F286">
        <v>1.216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284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210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109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18</v>
      </c>
      <c r="E291" t="s">
        <v>15</v>
      </c>
      <c r="F291">
        <v>115.824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105</v>
      </c>
      <c r="E292" t="s">
        <v>106</v>
      </c>
      <c r="F292">
        <v>0.72499999999999998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14.731999999999999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90.602000000000004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111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110</v>
      </c>
      <c r="E299" t="s">
        <v>13</v>
      </c>
      <c r="F299">
        <v>1.216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285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211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109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18</v>
      </c>
      <c r="E304" t="s">
        <v>15</v>
      </c>
      <c r="F304">
        <v>120.70099999999999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105</v>
      </c>
      <c r="E305" t="s">
        <v>106</v>
      </c>
      <c r="F305">
        <v>0.79500000000000004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15.342000000000001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94.350999999999999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110</v>
      </c>
      <c r="E312" t="s">
        <v>13</v>
      </c>
      <c r="F312">
        <v>1.216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286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212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18</v>
      </c>
      <c r="E317" t="s">
        <v>15</v>
      </c>
      <c r="F317">
        <v>93.066000000000003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105</v>
      </c>
      <c r="E318" t="s">
        <v>106</v>
      </c>
      <c r="F318">
        <v>0.38400000000000001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11.887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73.105999999999995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111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110</v>
      </c>
      <c r="E325" t="s">
        <v>13</v>
      </c>
      <c r="F325">
        <v>1.2430000000000001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287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213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109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18</v>
      </c>
      <c r="E330" t="s">
        <v>15</v>
      </c>
      <c r="F330">
        <v>97.941999999999993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105</v>
      </c>
      <c r="E331" t="s">
        <v>106</v>
      </c>
      <c r="F331">
        <v>0.45600000000000002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12.497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76.855000000000004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111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110</v>
      </c>
      <c r="E338" t="s">
        <v>13</v>
      </c>
      <c r="F338">
        <v>1.2430000000000001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288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214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109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18</v>
      </c>
      <c r="E343" t="s">
        <v>15</v>
      </c>
      <c r="F343">
        <v>102.819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105</v>
      </c>
      <c r="E344" t="s">
        <v>106</v>
      </c>
      <c r="F344">
        <v>0.52800000000000002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13.106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80.603999999999999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111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110</v>
      </c>
      <c r="E351" t="s">
        <v>13</v>
      </c>
      <c r="F351">
        <v>1.2430000000000001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289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215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109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18</v>
      </c>
      <c r="E356" t="s">
        <v>15</v>
      </c>
      <c r="F356">
        <v>107.696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105</v>
      </c>
      <c r="E357" t="s">
        <v>106</v>
      </c>
      <c r="F357">
        <v>0.6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13.715999999999999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84.352999999999994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111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110</v>
      </c>
      <c r="E364" t="s">
        <v>13</v>
      </c>
      <c r="F364">
        <v>1.2430000000000001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290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216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109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18</v>
      </c>
      <c r="E369" t="s">
        <v>15</v>
      </c>
      <c r="F369">
        <v>110.134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105</v>
      </c>
      <c r="E370" t="s">
        <v>106</v>
      </c>
      <c r="F370">
        <v>0.63600000000000001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14.021000000000001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86.227999999999994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111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110</v>
      </c>
      <c r="E377" t="s">
        <v>13</v>
      </c>
      <c r="F377">
        <v>1.2430000000000001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291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217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109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18</v>
      </c>
      <c r="E382" t="s">
        <v>15</v>
      </c>
      <c r="F382">
        <v>112.57299999999999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105</v>
      </c>
      <c r="E383" t="s">
        <v>106</v>
      </c>
      <c r="F383">
        <v>0.67200000000000004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14.326000000000001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88.102000000000004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111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110</v>
      </c>
      <c r="E390" t="s">
        <v>13</v>
      </c>
      <c r="F390">
        <v>1.2430000000000001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292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218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109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18</v>
      </c>
      <c r="E395" t="s">
        <v>15</v>
      </c>
      <c r="F395">
        <v>117.45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105</v>
      </c>
      <c r="E396" t="s">
        <v>106</v>
      </c>
      <c r="F396">
        <v>0.74399999999999999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14.935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91.850999999999999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111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110</v>
      </c>
      <c r="E403" t="s">
        <v>13</v>
      </c>
      <c r="F403">
        <v>1.2430000000000001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293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219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109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18</v>
      </c>
      <c r="E408" t="s">
        <v>15</v>
      </c>
      <c r="F408">
        <v>122.32599999999999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105</v>
      </c>
      <c r="E409" t="s">
        <v>106</v>
      </c>
      <c r="F409">
        <v>0.81599999999999995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15.545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95.600999999999999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111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110</v>
      </c>
      <c r="E416" t="s">
        <v>13</v>
      </c>
      <c r="F416">
        <v>1.2430000000000001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294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220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109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18</v>
      </c>
      <c r="E421" t="s">
        <v>15</v>
      </c>
      <c r="F421">
        <v>96.316999999999993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105</v>
      </c>
      <c r="E422" t="s">
        <v>106</v>
      </c>
      <c r="F422">
        <v>0.40300000000000002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12.294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75.605999999999995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111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110</v>
      </c>
      <c r="E429" t="s">
        <v>13</v>
      </c>
      <c r="F429">
        <v>1.2969999999999999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295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221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109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18</v>
      </c>
      <c r="E434" t="s">
        <v>15</v>
      </c>
      <c r="F434">
        <v>101.194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105</v>
      </c>
      <c r="E435" t="s">
        <v>106</v>
      </c>
      <c r="F435">
        <v>0.47899999999999998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12.903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79.355000000000004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111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110</v>
      </c>
      <c r="E442" t="s">
        <v>13</v>
      </c>
      <c r="F442">
        <v>1.2969999999999999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296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222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109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18</v>
      </c>
      <c r="E447" t="s">
        <v>15</v>
      </c>
      <c r="F447">
        <v>106.07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105</v>
      </c>
      <c r="E448" t="s">
        <v>106</v>
      </c>
      <c r="F448">
        <v>0.55500000000000005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13.513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83.103999999999999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111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110</v>
      </c>
      <c r="E455" t="s">
        <v>13</v>
      </c>
      <c r="F455">
        <v>1.2969999999999999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297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223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109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18</v>
      </c>
      <c r="E460" t="s">
        <v>15</v>
      </c>
      <c r="F460">
        <v>110.947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105</v>
      </c>
      <c r="E461" t="s">
        <v>106</v>
      </c>
      <c r="F461">
        <v>0.63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14.122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86.852999999999994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110</v>
      </c>
      <c r="E468" t="s">
        <v>13</v>
      </c>
      <c r="F468">
        <v>1.2969999999999999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298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224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18</v>
      </c>
      <c r="E473" t="s">
        <v>15</v>
      </c>
      <c r="F473">
        <v>113.386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105</v>
      </c>
      <c r="E474" t="s">
        <v>106</v>
      </c>
      <c r="F474">
        <v>0.66800000000000004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14.427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88.727000000000004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111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110</v>
      </c>
      <c r="E481" t="s">
        <v>13</v>
      </c>
      <c r="F481">
        <v>1.2969999999999999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299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225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109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18</v>
      </c>
      <c r="E486" t="s">
        <v>15</v>
      </c>
      <c r="F486">
        <v>115.824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105</v>
      </c>
      <c r="E487" t="s">
        <v>106</v>
      </c>
      <c r="F487">
        <v>0.70599999999999996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14.731999999999999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90.602000000000004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110</v>
      </c>
      <c r="E494" t="s">
        <v>13</v>
      </c>
      <c r="F494">
        <v>1.2969999999999999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300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226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109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18</v>
      </c>
      <c r="E499" t="s">
        <v>15</v>
      </c>
      <c r="F499">
        <v>120.70099999999999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105</v>
      </c>
      <c r="E500" t="s">
        <v>106</v>
      </c>
      <c r="F500">
        <v>0.78200000000000003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15.342000000000001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94.350999999999999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111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110</v>
      </c>
      <c r="E507" t="s">
        <v>13</v>
      </c>
      <c r="F507">
        <v>1.2969999999999999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301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227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109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18</v>
      </c>
      <c r="E512" t="s">
        <v>15</v>
      </c>
      <c r="F512">
        <v>125.578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105</v>
      </c>
      <c r="E513" t="s">
        <v>106</v>
      </c>
      <c r="F513">
        <v>0.85699999999999998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15.951000000000001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98.1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111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110</v>
      </c>
      <c r="E520" t="s">
        <v>13</v>
      </c>
      <c r="F520">
        <v>1.2969999999999999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302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228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109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18</v>
      </c>
      <c r="E525" t="s">
        <v>15</v>
      </c>
      <c r="F525">
        <v>84.125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105</v>
      </c>
      <c r="E526" t="s">
        <v>106</v>
      </c>
      <c r="F526">
        <v>0.313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10.77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66.233000000000004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111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110</v>
      </c>
      <c r="E533" t="s">
        <v>13</v>
      </c>
      <c r="F533">
        <v>0.56699999999999995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303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229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109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18</v>
      </c>
      <c r="E538" t="s">
        <v>15</v>
      </c>
      <c r="F538">
        <v>89.001999999999995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105</v>
      </c>
      <c r="E539" t="s">
        <v>106</v>
      </c>
      <c r="F539">
        <v>0.377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11.379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69.981999999999999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111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110</v>
      </c>
      <c r="E546" t="s">
        <v>13</v>
      </c>
      <c r="F546">
        <v>0.64900000000000002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304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230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109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18</v>
      </c>
      <c r="E551" t="s">
        <v>15</v>
      </c>
      <c r="F551">
        <v>93.878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105</v>
      </c>
      <c r="E552" t="s">
        <v>106</v>
      </c>
      <c r="F552">
        <v>0.442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11.989000000000001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73.730999999999995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111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110</v>
      </c>
      <c r="E559" t="s">
        <v>13</v>
      </c>
      <c r="F559">
        <v>0.73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305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231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109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18</v>
      </c>
      <c r="E564" t="s">
        <v>15</v>
      </c>
      <c r="F564">
        <v>98.754999999999995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105</v>
      </c>
      <c r="E565" t="s">
        <v>106</v>
      </c>
      <c r="F565">
        <v>0.50700000000000001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12.598000000000001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77.48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111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110</v>
      </c>
      <c r="E572" t="s">
        <v>13</v>
      </c>
      <c r="F572">
        <v>0.81100000000000005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306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232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109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18</v>
      </c>
      <c r="E577" t="s">
        <v>15</v>
      </c>
      <c r="F577">
        <v>108.509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105</v>
      </c>
      <c r="E578" t="s">
        <v>106</v>
      </c>
      <c r="F578">
        <v>0.63600000000000001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13.818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84.977999999999994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111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110</v>
      </c>
      <c r="E585" t="s">
        <v>13</v>
      </c>
      <c r="F585">
        <v>0.97299999999999998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307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233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109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18</v>
      </c>
      <c r="E590" t="s">
        <v>15</v>
      </c>
      <c r="F590">
        <v>113.386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105</v>
      </c>
      <c r="E591" t="s">
        <v>106</v>
      </c>
      <c r="F591">
        <v>0.70099999999999996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14.427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88.727000000000004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111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110</v>
      </c>
      <c r="E598" t="s">
        <v>13</v>
      </c>
      <c r="F598">
        <v>1.054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308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234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109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18</v>
      </c>
      <c r="E603" t="s">
        <v>15</v>
      </c>
      <c r="F603">
        <v>118.262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105</v>
      </c>
      <c r="E604" t="s">
        <v>106</v>
      </c>
      <c r="F604">
        <v>0.76600000000000001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15.037000000000001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92.475999999999999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111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110</v>
      </c>
      <c r="E611" t="s">
        <v>13</v>
      </c>
      <c r="F611">
        <v>1.135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309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235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109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18</v>
      </c>
      <c r="E616" t="s">
        <v>15</v>
      </c>
      <c r="F616">
        <v>86.563000000000002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105</v>
      </c>
      <c r="E617" t="s">
        <v>106</v>
      </c>
      <c r="F617">
        <v>0.32600000000000001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11.074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68.108000000000004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110</v>
      </c>
      <c r="E624" t="s">
        <v>13</v>
      </c>
      <c r="F624">
        <v>0.56699999999999995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310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236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109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18</v>
      </c>
      <c r="E629" t="s">
        <v>15</v>
      </c>
      <c r="F629">
        <v>91.44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105</v>
      </c>
      <c r="E630" t="s">
        <v>106</v>
      </c>
      <c r="F630">
        <v>0.39300000000000002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11.683999999999999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71.856999999999999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111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110</v>
      </c>
      <c r="E637" t="s">
        <v>13</v>
      </c>
      <c r="F637">
        <v>0.64900000000000002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311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237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109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18</v>
      </c>
      <c r="E642" t="s">
        <v>15</v>
      </c>
      <c r="F642">
        <v>96.316999999999993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105</v>
      </c>
      <c r="E643" t="s">
        <v>106</v>
      </c>
      <c r="F643">
        <v>0.46100000000000002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12.294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75.605999999999995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111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110</v>
      </c>
      <c r="E650" t="s">
        <v>13</v>
      </c>
      <c r="F650">
        <v>0.73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312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238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109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18</v>
      </c>
      <c r="E655" t="s">
        <v>15</v>
      </c>
      <c r="F655">
        <v>101.194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105</v>
      </c>
      <c r="E656" t="s">
        <v>106</v>
      </c>
      <c r="F656">
        <v>0.52800000000000002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12.903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79.355000000000004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111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110</v>
      </c>
      <c r="E663" t="s">
        <v>13</v>
      </c>
      <c r="F663">
        <v>0.81100000000000005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313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239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109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18</v>
      </c>
      <c r="E668" t="s">
        <v>15</v>
      </c>
      <c r="F668">
        <v>110.947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105</v>
      </c>
      <c r="E669" t="s">
        <v>106</v>
      </c>
      <c r="F669">
        <v>0.66300000000000003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14.122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86.852999999999994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111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110</v>
      </c>
      <c r="E676" t="s">
        <v>13</v>
      </c>
      <c r="F676">
        <v>0.97299999999999998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314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240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109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18</v>
      </c>
      <c r="E681" t="s">
        <v>15</v>
      </c>
      <c r="F681">
        <v>115.824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105</v>
      </c>
      <c r="E682" t="s">
        <v>106</v>
      </c>
      <c r="F682">
        <v>0.73099999999999998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14.731999999999999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90.602000000000004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111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110</v>
      </c>
      <c r="E689" t="s">
        <v>13</v>
      </c>
      <c r="F689">
        <v>1.054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315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241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109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18</v>
      </c>
      <c r="E694" t="s">
        <v>15</v>
      </c>
      <c r="F694">
        <v>120.70099999999999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105</v>
      </c>
      <c r="E695" t="s">
        <v>106</v>
      </c>
      <c r="F695">
        <v>0.79800000000000004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15.342000000000001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94.350999999999999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111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110</v>
      </c>
      <c r="E702" t="s">
        <v>13</v>
      </c>
      <c r="F702">
        <v>1.135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316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242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109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18</v>
      </c>
      <c r="E707" t="s">
        <v>15</v>
      </c>
      <c r="F707">
        <v>89.001999999999995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105</v>
      </c>
      <c r="E708" t="s">
        <v>106</v>
      </c>
      <c r="F708">
        <v>0.33900000000000002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11.379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69.981999999999999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111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110</v>
      </c>
      <c r="E715" t="s">
        <v>13</v>
      </c>
      <c r="F715">
        <v>1.216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317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243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109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18</v>
      </c>
      <c r="E720" t="s">
        <v>15</v>
      </c>
      <c r="F720">
        <v>93.878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105</v>
      </c>
      <c r="E721" t="s">
        <v>106</v>
      </c>
      <c r="F721">
        <v>0.40899999999999997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11.989000000000001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73.730999999999995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111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110</v>
      </c>
      <c r="E728" t="s">
        <v>13</v>
      </c>
      <c r="F728">
        <v>1.216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318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244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109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18</v>
      </c>
      <c r="E733" t="s">
        <v>15</v>
      </c>
      <c r="F733">
        <v>98.754999999999995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105</v>
      </c>
      <c r="E734" t="s">
        <v>106</v>
      </c>
      <c r="F734">
        <v>0.47899999999999998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12.598000000000001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77.48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110</v>
      </c>
      <c r="E741" t="s">
        <v>13</v>
      </c>
      <c r="F741">
        <v>1.216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319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245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109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18</v>
      </c>
      <c r="E746" t="s">
        <v>15</v>
      </c>
      <c r="F746">
        <v>103.63200000000001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105</v>
      </c>
      <c r="E747" t="s">
        <v>106</v>
      </c>
      <c r="F747">
        <v>0.55000000000000004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13.208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81.228999999999999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111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110</v>
      </c>
      <c r="E754" t="s">
        <v>13</v>
      </c>
      <c r="F754">
        <v>1.216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320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246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109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18</v>
      </c>
      <c r="E759" t="s">
        <v>15</v>
      </c>
      <c r="F759">
        <v>113.386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105</v>
      </c>
      <c r="E760" t="s">
        <v>106</v>
      </c>
      <c r="F760">
        <v>0.69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14.427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88.727000000000004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111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110</v>
      </c>
      <c r="E767" t="s">
        <v>13</v>
      </c>
      <c r="F767">
        <v>1.216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321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247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109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18</v>
      </c>
      <c r="E772" t="s">
        <v>15</v>
      </c>
      <c r="F772">
        <v>118.262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105</v>
      </c>
      <c r="E773" t="s">
        <v>106</v>
      </c>
      <c r="F773">
        <v>0.76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15.037000000000001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92.475999999999999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110</v>
      </c>
      <c r="E780" t="s">
        <v>13</v>
      </c>
      <c r="F780">
        <v>1.216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322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248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109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18</v>
      </c>
      <c r="E785" t="s">
        <v>15</v>
      </c>
      <c r="F785">
        <v>123.139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105</v>
      </c>
      <c r="E786" t="s">
        <v>106</v>
      </c>
      <c r="F786">
        <v>0.83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15.646000000000001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96.224999999999994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111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110</v>
      </c>
      <c r="E793" t="s">
        <v>13</v>
      </c>
      <c r="F793">
        <v>1.216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323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249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109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18</v>
      </c>
      <c r="E798" t="s">
        <v>15</v>
      </c>
      <c r="F798">
        <v>90.626999999999995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105</v>
      </c>
      <c r="E799" t="s">
        <v>106</v>
      </c>
      <c r="F799">
        <v>0.34799999999999998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11.582000000000001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71.231999999999999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111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110</v>
      </c>
      <c r="E806" t="s">
        <v>13</v>
      </c>
      <c r="F806">
        <v>1.2430000000000001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324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250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109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18</v>
      </c>
      <c r="E811" t="s">
        <v>15</v>
      </c>
      <c r="F811">
        <v>95.504000000000005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105</v>
      </c>
      <c r="E812" t="s">
        <v>106</v>
      </c>
      <c r="F812">
        <v>0.42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12.192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74.980999999999995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111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110</v>
      </c>
      <c r="E819" t="s">
        <v>13</v>
      </c>
      <c r="F819">
        <v>1.2430000000000001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325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251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109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18</v>
      </c>
      <c r="E824" t="s">
        <v>15</v>
      </c>
      <c r="F824">
        <v>100.381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105</v>
      </c>
      <c r="E825" t="s">
        <v>106</v>
      </c>
      <c r="F825">
        <v>0.49199999999999999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12.802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78.73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111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110</v>
      </c>
      <c r="E832" t="s">
        <v>13</v>
      </c>
      <c r="F832">
        <v>1.2430000000000001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326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252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109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18</v>
      </c>
      <c r="E837" t="s">
        <v>15</v>
      </c>
      <c r="F837">
        <v>105.258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105</v>
      </c>
      <c r="E838" t="s">
        <v>106</v>
      </c>
      <c r="F838">
        <v>0.56399999999999995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13.411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82.478999999999999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111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110</v>
      </c>
      <c r="E845" t="s">
        <v>13</v>
      </c>
      <c r="F845">
        <v>1.2430000000000001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327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253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109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18</v>
      </c>
      <c r="E850" t="s">
        <v>15</v>
      </c>
      <c r="F850">
        <v>115.011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105</v>
      </c>
      <c r="E851" t="s">
        <v>106</v>
      </c>
      <c r="F851">
        <v>0.70799999999999996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14.63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89.977000000000004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111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110</v>
      </c>
      <c r="E858" t="s">
        <v>13</v>
      </c>
      <c r="F858">
        <v>1.2430000000000001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328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254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109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18</v>
      </c>
      <c r="E863" t="s">
        <v>15</v>
      </c>
      <c r="F863">
        <v>119.88800000000001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105</v>
      </c>
      <c r="E864" t="s">
        <v>106</v>
      </c>
      <c r="F864">
        <v>0.78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15.24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93.725999999999999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111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110</v>
      </c>
      <c r="E871" t="s">
        <v>13</v>
      </c>
      <c r="F871">
        <v>1.2430000000000001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329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255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109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18</v>
      </c>
      <c r="E876" t="s">
        <v>15</v>
      </c>
      <c r="F876">
        <v>124.765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105</v>
      </c>
      <c r="E877" t="s">
        <v>106</v>
      </c>
      <c r="F877">
        <v>0.85199999999999998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15.85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97.474999999999994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111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110</v>
      </c>
      <c r="E884" t="s">
        <v>13</v>
      </c>
      <c r="F884">
        <v>1.2430000000000001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330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256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109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18</v>
      </c>
      <c r="E889" t="s">
        <v>15</v>
      </c>
      <c r="F889">
        <v>93.878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105</v>
      </c>
      <c r="E890" t="s">
        <v>106</v>
      </c>
      <c r="F890">
        <v>0.36599999999999999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11.989000000000001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73.730999999999995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111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110</v>
      </c>
      <c r="E897" t="s">
        <v>13</v>
      </c>
      <c r="F897">
        <v>1.2969999999999999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331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257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109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105</v>
      </c>
      <c r="E903" t="s">
        <v>106</v>
      </c>
      <c r="F903">
        <v>0.441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12.598000000000001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77.48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111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110</v>
      </c>
      <c r="E910" t="s">
        <v>13</v>
      </c>
      <c r="F910">
        <v>1.2969999999999999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332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258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109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18</v>
      </c>
      <c r="E915" t="s">
        <v>15</v>
      </c>
      <c r="F915">
        <v>103.63200000000001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105</v>
      </c>
      <c r="E916" t="s">
        <v>106</v>
      </c>
      <c r="F916">
        <v>0.51700000000000002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13.208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81.228999999999999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111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110</v>
      </c>
      <c r="E923" t="s">
        <v>13</v>
      </c>
      <c r="F923">
        <v>1.2969999999999999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333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259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109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18</v>
      </c>
      <c r="E928" t="s">
        <v>15</v>
      </c>
      <c r="F928">
        <v>108.509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105</v>
      </c>
      <c r="E929" t="s">
        <v>106</v>
      </c>
      <c r="F929">
        <v>0.59199999999999997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13.818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84.977999999999994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111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110</v>
      </c>
      <c r="E936" t="s">
        <v>13</v>
      </c>
      <c r="F936">
        <v>1.2969999999999999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334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260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109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18</v>
      </c>
      <c r="E941" t="s">
        <v>15</v>
      </c>
      <c r="F941">
        <v>118.262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105</v>
      </c>
      <c r="E942" t="s">
        <v>106</v>
      </c>
      <c r="F942">
        <v>0.74399999999999999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15.037000000000001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92.475999999999999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111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110</v>
      </c>
      <c r="E949" t="s">
        <v>13</v>
      </c>
      <c r="F949">
        <v>1.2969999999999999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335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261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109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18</v>
      </c>
      <c r="E954" t="s">
        <v>15</v>
      </c>
      <c r="F954">
        <v>123.139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105</v>
      </c>
      <c r="E955" t="s">
        <v>106</v>
      </c>
      <c r="F955">
        <v>0.81899999999999995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15.646000000000001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96.224999999999994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111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110</v>
      </c>
      <c r="E962" t="s">
        <v>13</v>
      </c>
      <c r="F962">
        <v>1.2969999999999999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336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262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109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18</v>
      </c>
      <c r="E967" t="s">
        <v>15</v>
      </c>
      <c r="F967">
        <v>128.01599999999999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105</v>
      </c>
      <c r="E968" t="s">
        <v>106</v>
      </c>
      <c r="F968">
        <v>0.89500000000000002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16.256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99.974000000000004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111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110</v>
      </c>
      <c r="E975" t="s">
        <v>13</v>
      </c>
      <c r="F975">
        <v>1.2969999999999999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337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7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7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28" t="s">
        <v>49</v>
      </c>
      <c r="C4" s="28" t="s">
        <v>50</v>
      </c>
      <c r="D4" s="42" t="s">
        <v>51</v>
      </c>
      <c r="E4" s="28" t="s">
        <v>3</v>
      </c>
      <c r="F4" s="42" t="s">
        <v>52</v>
      </c>
      <c r="G4" s="28" t="s">
        <v>53</v>
      </c>
      <c r="H4" s="28" t="s">
        <v>6</v>
      </c>
      <c r="I4" s="28" t="s">
        <v>54</v>
      </c>
      <c r="J4" s="42" t="s">
        <v>55</v>
      </c>
      <c r="K4" s="42" t="s">
        <v>56</v>
      </c>
      <c r="L4" s="42" t="s">
        <v>57</v>
      </c>
      <c r="M4" s="29" t="s">
        <v>58</v>
      </c>
      <c r="N4" s="30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105</v>
      </c>
      <c r="O9" s="3"/>
      <c r="P9" s="3"/>
      <c r="Q9" s="3">
        <v>0.34499999999999997</v>
      </c>
      <c r="R9" s="3" t="s">
        <v>106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11.074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68.108000000000004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110</v>
      </c>
      <c r="O16" s="3"/>
      <c r="P16" s="3"/>
      <c r="Q16" s="3">
        <v>0.60799999999999998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263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189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109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91.44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105</v>
      </c>
      <c r="O22" s="3"/>
      <c r="P22" s="3"/>
      <c r="Q22" s="3">
        <v>0.41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11.683999999999999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71.856999999999999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110</v>
      </c>
      <c r="O29" s="3"/>
      <c r="P29" s="3"/>
      <c r="Q29" s="3">
        <v>0.68899999999999995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264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190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109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96.316999999999993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105</v>
      </c>
      <c r="O35" s="3"/>
      <c r="P35" s="3"/>
      <c r="Q35" s="3">
        <v>0.47399999999999998</v>
      </c>
      <c r="R35" s="3" t="s">
        <v>106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12.294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75.605999999999995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110</v>
      </c>
      <c r="O42" s="3"/>
      <c r="P42" s="3"/>
      <c r="Q42" s="3">
        <v>0.77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265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191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109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101.194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105</v>
      </c>
      <c r="O48" s="3"/>
      <c r="P48" s="3"/>
      <c r="Q48" s="3">
        <v>0.53900000000000003</v>
      </c>
      <c r="R48" s="3" t="s">
        <v>106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12.903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79.355000000000004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110</v>
      </c>
      <c r="O55" s="3"/>
      <c r="P55" s="3"/>
      <c r="Q55" s="3">
        <v>0.85099999999999998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266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192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109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103.63200000000001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105</v>
      </c>
      <c r="O61" s="3"/>
      <c r="P61" s="3"/>
      <c r="Q61" s="3">
        <v>0.57199999999999995</v>
      </c>
      <c r="R61" s="3" t="s">
        <v>106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13.208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81.228999999999999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110</v>
      </c>
      <c r="O68" s="3"/>
      <c r="P68" s="3"/>
      <c r="Q68" s="3">
        <v>0.89200000000000002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267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193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109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106.07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105</v>
      </c>
      <c r="O74" s="3"/>
      <c r="P74" s="3"/>
      <c r="Q74" s="3">
        <v>0.60399999999999998</v>
      </c>
      <c r="R74" s="3" t="s">
        <v>106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13.513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83.103999999999999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110</v>
      </c>
      <c r="O81" s="3"/>
      <c r="P81" s="3"/>
      <c r="Q81" s="3">
        <v>0.93200000000000005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268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194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109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110.947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105</v>
      </c>
      <c r="O87" s="3"/>
      <c r="P87" s="3"/>
      <c r="Q87" s="3">
        <v>0.66900000000000004</v>
      </c>
      <c r="R87" s="3" t="s">
        <v>106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14.122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86.852999999999994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110</v>
      </c>
      <c r="O94" s="3"/>
      <c r="P94" s="3"/>
      <c r="Q94" s="3">
        <v>1.0129999999999999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269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195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109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115.824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105</v>
      </c>
      <c r="O100" s="3"/>
      <c r="P100" s="3"/>
      <c r="Q100" s="3">
        <v>0.73299999999999998</v>
      </c>
      <c r="R100" s="3" t="s">
        <v>106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14.731999999999999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90.602000000000004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110</v>
      </c>
      <c r="O107" s="3"/>
      <c r="P107" s="3"/>
      <c r="Q107" s="3">
        <v>1.0940000000000001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270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196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109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89.001999999999995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105</v>
      </c>
      <c r="O113" s="3"/>
      <c r="P113" s="3"/>
      <c r="Q113" s="3">
        <v>0.36</v>
      </c>
      <c r="R113" s="3" t="s">
        <v>106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11.379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69.981999999999999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110</v>
      </c>
      <c r="O120" s="3"/>
      <c r="P120" s="3"/>
      <c r="Q120" s="3">
        <v>0.60799999999999998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271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197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109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93.878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105</v>
      </c>
      <c r="O126" s="3"/>
      <c r="P126" s="3"/>
      <c r="Q126" s="3">
        <v>0.42699999999999999</v>
      </c>
      <c r="R126" s="3" t="s">
        <v>106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11.989000000000001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73.730999999999995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110</v>
      </c>
      <c r="O133" s="3"/>
      <c r="P133" s="3"/>
      <c r="Q133" s="3">
        <v>0.68899999999999995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272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198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109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98.754999999999995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105</v>
      </c>
      <c r="O139" s="3"/>
      <c r="P139" s="3"/>
      <c r="Q139" s="3">
        <v>0.495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12.598000000000001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77.48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110</v>
      </c>
      <c r="O146" s="3"/>
      <c r="P146" s="3"/>
      <c r="Q146" s="3">
        <v>0.77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273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199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109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103.63200000000001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105</v>
      </c>
      <c r="O152" s="3"/>
      <c r="P152" s="3"/>
      <c r="Q152" s="3">
        <v>0.56200000000000006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13.208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81.228999999999999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110</v>
      </c>
      <c r="O159" s="3"/>
      <c r="P159" s="3"/>
      <c r="Q159" s="3">
        <v>0.85099999999999998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274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200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106.07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105</v>
      </c>
      <c r="O165" s="3"/>
      <c r="P165" s="3"/>
      <c r="Q165" s="3">
        <v>0.59599999999999997</v>
      </c>
      <c r="R165" s="3" t="s">
        <v>106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13.513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83.103999999999999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110</v>
      </c>
      <c r="O172" s="3"/>
      <c r="P172" s="3"/>
      <c r="Q172" s="3">
        <v>0.89200000000000002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275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201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109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108.509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105</v>
      </c>
      <c r="O178" s="3"/>
      <c r="P178" s="3"/>
      <c r="Q178" s="3">
        <v>0.629</v>
      </c>
      <c r="R178" s="3" t="s">
        <v>106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13.818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84.977999999999994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110</v>
      </c>
      <c r="O185" s="3"/>
      <c r="P185" s="3"/>
      <c r="Q185" s="3">
        <v>0.93200000000000005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276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202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109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113.386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105</v>
      </c>
      <c r="O191" s="3"/>
      <c r="P191" s="3"/>
      <c r="Q191" s="3">
        <v>0.69699999999999995</v>
      </c>
      <c r="R191" s="3" t="s">
        <v>106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14.427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88.727000000000004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110</v>
      </c>
      <c r="O198" s="3"/>
      <c r="P198" s="3"/>
      <c r="Q198" s="3">
        <v>1.0129999999999999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277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203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109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118.262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105</v>
      </c>
      <c r="O204" s="3"/>
      <c r="P204" s="3"/>
      <c r="Q204" s="3">
        <v>0.76400000000000001</v>
      </c>
      <c r="R204" s="3" t="s">
        <v>106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15.037000000000001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92.475999999999999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110</v>
      </c>
      <c r="O211" s="3"/>
      <c r="P211" s="3"/>
      <c r="Q211" s="3">
        <v>1.0940000000000001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278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204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109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91.44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105</v>
      </c>
      <c r="O217" s="3"/>
      <c r="P217" s="3"/>
      <c r="Q217" s="3">
        <v>0.374</v>
      </c>
      <c r="R217" s="3" t="s">
        <v>106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11.683999999999999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71.856999999999999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110</v>
      </c>
      <c r="O224" s="3"/>
      <c r="P224" s="3"/>
      <c r="Q224" s="3">
        <v>1.216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279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205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109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96.316999999999993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105</v>
      </c>
      <c r="O230" s="3"/>
      <c r="P230" s="3"/>
      <c r="Q230" s="3">
        <v>0.44400000000000001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12.294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75.605999999999995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110</v>
      </c>
      <c r="O237" s="3"/>
      <c r="P237" s="3"/>
      <c r="Q237" s="3">
        <v>1.216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280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206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109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101.194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105</v>
      </c>
      <c r="O243" s="3"/>
      <c r="P243" s="3"/>
      <c r="Q243" s="3">
        <v>0.51500000000000001</v>
      </c>
      <c r="R243" s="3" t="s">
        <v>106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12.903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79.355000000000004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110</v>
      </c>
      <c r="O250" s="3"/>
      <c r="P250" s="3"/>
      <c r="Q250" s="3">
        <v>1.216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281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207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109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106.07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105</v>
      </c>
      <c r="O256" s="3"/>
      <c r="P256" s="3"/>
      <c r="Q256" s="3">
        <v>0.58499999999999996</v>
      </c>
      <c r="R256" s="3" t="s">
        <v>106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13.513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83.103999999999999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110</v>
      </c>
      <c r="O263" s="3"/>
      <c r="P263" s="3"/>
      <c r="Q263" s="3">
        <v>1.216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282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208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109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108.509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105</v>
      </c>
      <c r="O269" s="3"/>
      <c r="P269" s="3"/>
      <c r="Q269" s="3">
        <v>0.62</v>
      </c>
      <c r="R269" s="3" t="s">
        <v>106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13.818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84.977999999999994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110</v>
      </c>
      <c r="O276" s="3"/>
      <c r="P276" s="3"/>
      <c r="Q276" s="3">
        <v>1.216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283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209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109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110.947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105</v>
      </c>
      <c r="O282" s="3"/>
      <c r="P282" s="3"/>
      <c r="Q282" s="3">
        <v>0.65500000000000003</v>
      </c>
      <c r="R282" s="3" t="s">
        <v>106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14.122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86.852999999999994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110</v>
      </c>
      <c r="O289" s="3"/>
      <c r="P289" s="3"/>
      <c r="Q289" s="3">
        <v>1.216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284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210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109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115.824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105</v>
      </c>
      <c r="O295" s="3"/>
      <c r="P295" s="3"/>
      <c r="Q295" s="3">
        <v>0.72499999999999998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14.731999999999999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90.602000000000004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110</v>
      </c>
      <c r="O302" s="3"/>
      <c r="P302" s="3"/>
      <c r="Q302" s="3">
        <v>1.216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285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211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109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120.70099999999999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105</v>
      </c>
      <c r="O308" s="3"/>
      <c r="P308" s="3"/>
      <c r="Q308" s="3">
        <v>0.79500000000000004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15.342000000000001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94.350999999999999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110</v>
      </c>
      <c r="O315" s="3"/>
      <c r="P315" s="3"/>
      <c r="Q315" s="3">
        <v>1.216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286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212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93.066000000000003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105</v>
      </c>
      <c r="O321" s="3"/>
      <c r="P321" s="3"/>
      <c r="Q321" s="3">
        <v>0.38400000000000001</v>
      </c>
      <c r="R321" s="3" t="s">
        <v>106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11.887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73.105999999999995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110</v>
      </c>
      <c r="O328" s="3"/>
      <c r="P328" s="3"/>
      <c r="Q328" s="3">
        <v>1.2430000000000001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287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213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109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97.941999999999993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105</v>
      </c>
      <c r="O334" s="3"/>
      <c r="P334" s="3"/>
      <c r="Q334" s="3">
        <v>0.45600000000000002</v>
      </c>
      <c r="R334" s="3" t="s">
        <v>106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12.497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76.855000000000004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110</v>
      </c>
      <c r="O341" s="3"/>
      <c r="P341" s="3"/>
      <c r="Q341" s="3">
        <v>1.2430000000000001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288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214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109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102.819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105</v>
      </c>
      <c r="O347" s="3"/>
      <c r="P347" s="3"/>
      <c r="Q347" s="3">
        <v>0.52800000000000002</v>
      </c>
      <c r="R347" s="3" t="s">
        <v>106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13.106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80.603999999999999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110</v>
      </c>
      <c r="O354" s="3"/>
      <c r="P354" s="3"/>
      <c r="Q354" s="3">
        <v>1.2430000000000001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289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215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109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107.696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105</v>
      </c>
      <c r="O360" s="3"/>
      <c r="P360" s="3"/>
      <c r="Q360" s="3">
        <v>0.6</v>
      </c>
      <c r="R360" s="3" t="s">
        <v>106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13.715999999999999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84.352999999999994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110</v>
      </c>
      <c r="O367" s="3"/>
      <c r="P367" s="3"/>
      <c r="Q367" s="3">
        <v>1.2430000000000001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290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216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109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110.134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105</v>
      </c>
      <c r="O373" s="3"/>
      <c r="P373" s="3"/>
      <c r="Q373" s="3">
        <v>0.63600000000000001</v>
      </c>
      <c r="R373" s="3" t="s">
        <v>106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14.021000000000001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86.227999999999994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110</v>
      </c>
      <c r="O380" s="3"/>
      <c r="P380" s="3"/>
      <c r="Q380" s="3">
        <v>1.2430000000000001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291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217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109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112.57299999999999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105</v>
      </c>
      <c r="O386" s="3"/>
      <c r="P386" s="3"/>
      <c r="Q386" s="3">
        <v>0.67200000000000004</v>
      </c>
      <c r="R386" s="3" t="s">
        <v>106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14.326000000000001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88.102000000000004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110</v>
      </c>
      <c r="O393" s="3"/>
      <c r="P393" s="3"/>
      <c r="Q393" s="3">
        <v>1.2430000000000001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292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218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109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117.45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105</v>
      </c>
      <c r="O399" s="3"/>
      <c r="P399" s="3"/>
      <c r="Q399" s="3">
        <v>0.74399999999999999</v>
      </c>
      <c r="R399" s="3" t="s">
        <v>106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14.935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91.850999999999999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110</v>
      </c>
      <c r="O406" s="3"/>
      <c r="P406" s="3"/>
      <c r="Q406" s="3">
        <v>1.2430000000000001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293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219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109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122.32599999999999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105</v>
      </c>
      <c r="O412" s="3"/>
      <c r="P412" s="3"/>
      <c r="Q412" s="3">
        <v>0.81599999999999995</v>
      </c>
      <c r="R412" s="3" t="s">
        <v>106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15.545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95.600999999999999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110</v>
      </c>
      <c r="O419" s="3"/>
      <c r="P419" s="3"/>
      <c r="Q419" s="3">
        <v>1.2430000000000001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294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96.316999999999993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105</v>
      </c>
      <c r="O425" s="3"/>
      <c r="P425" s="3"/>
      <c r="Q425" s="3">
        <v>0.40300000000000002</v>
      </c>
      <c r="R425" s="3" t="s">
        <v>106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12.294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75.605999999999995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110</v>
      </c>
      <c r="O432" s="3"/>
      <c r="P432" s="3"/>
      <c r="Q432" s="3">
        <v>1.2969999999999999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295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109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101.194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105</v>
      </c>
      <c r="O438" s="3"/>
      <c r="P438" s="3"/>
      <c r="Q438" s="3">
        <v>0.47899999999999998</v>
      </c>
      <c r="R438" s="3" t="s">
        <v>106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12.903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79.355000000000004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110</v>
      </c>
      <c r="O445" s="3"/>
      <c r="P445" s="3"/>
      <c r="Q445" s="3">
        <v>1.2969999999999999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296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222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109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106.07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105</v>
      </c>
      <c r="O451" s="3"/>
      <c r="P451" s="3"/>
      <c r="Q451" s="3">
        <v>0.55500000000000005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13.513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83.103999999999999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110</v>
      </c>
      <c r="O458" s="3"/>
      <c r="P458" s="3"/>
      <c r="Q458" s="3">
        <v>1.2969999999999999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297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223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109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110.947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105</v>
      </c>
      <c r="O464" s="3"/>
      <c r="P464" s="3"/>
      <c r="Q464" s="3">
        <v>0.63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14.122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86.852999999999994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110</v>
      </c>
      <c r="O471" s="3"/>
      <c r="P471" s="3"/>
      <c r="Q471" s="3">
        <v>1.2969999999999999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298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224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113.386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105</v>
      </c>
      <c r="O477" s="3"/>
      <c r="P477" s="3"/>
      <c r="Q477" s="3">
        <v>0.66800000000000004</v>
      </c>
      <c r="R477" s="3" t="s">
        <v>106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14.427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88.727000000000004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110</v>
      </c>
      <c r="O484" s="3"/>
      <c r="P484" s="3"/>
      <c r="Q484" s="3">
        <v>1.2969999999999999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299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225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109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115.824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105</v>
      </c>
      <c r="O490" s="3"/>
      <c r="P490" s="3"/>
      <c r="Q490" s="3">
        <v>0.70599999999999996</v>
      </c>
      <c r="R490" s="3" t="s">
        <v>106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14.731999999999999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90.602000000000004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110</v>
      </c>
      <c r="O497" s="3"/>
      <c r="P497" s="3"/>
      <c r="Q497" s="3">
        <v>1.2969999999999999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300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226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109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120.70099999999999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105</v>
      </c>
      <c r="O503" s="3"/>
      <c r="P503" s="3"/>
      <c r="Q503" s="3">
        <v>0.78200000000000003</v>
      </c>
      <c r="R503" s="3" t="s">
        <v>106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15.342000000000001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94.350999999999999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110</v>
      </c>
      <c r="O510" s="3"/>
      <c r="P510" s="3"/>
      <c r="Q510" s="3">
        <v>1.2969999999999999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301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227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109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125.578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105</v>
      </c>
      <c r="O516" s="3"/>
      <c r="P516" s="3"/>
      <c r="Q516" s="3">
        <v>0.85699999999999998</v>
      </c>
      <c r="R516" s="3" t="s">
        <v>106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15.951000000000001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98.1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110</v>
      </c>
      <c r="O523" s="3"/>
      <c r="P523" s="3"/>
      <c r="Q523" s="3">
        <v>1.2969999999999999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302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228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109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84.125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105</v>
      </c>
      <c r="O529" s="3"/>
      <c r="P529" s="3"/>
      <c r="Q529" s="3">
        <v>0.313</v>
      </c>
      <c r="R529" s="3" t="s">
        <v>106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10.77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66.233000000000004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110</v>
      </c>
      <c r="O536" s="3"/>
      <c r="P536" s="3"/>
      <c r="Q536" s="3">
        <v>0.56699999999999995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303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229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109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89.001999999999995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105</v>
      </c>
      <c r="O542" s="3"/>
      <c r="P542" s="3"/>
      <c r="Q542" s="3">
        <v>0.377</v>
      </c>
      <c r="R542" s="3" t="s">
        <v>106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11.379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69.981999999999999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110</v>
      </c>
      <c r="O549" s="3"/>
      <c r="P549" s="3"/>
      <c r="Q549" s="3">
        <v>0.64900000000000002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304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230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109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93.878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105</v>
      </c>
      <c r="O555" s="3"/>
      <c r="P555" s="3"/>
      <c r="Q555" s="3">
        <v>0.442</v>
      </c>
      <c r="R555" s="3" t="s">
        <v>106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11.989000000000001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73.730999999999995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110</v>
      </c>
      <c r="O562" s="3"/>
      <c r="P562" s="3"/>
      <c r="Q562" s="3">
        <v>0.73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305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231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109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98.754999999999995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105</v>
      </c>
      <c r="O568" s="3"/>
      <c r="P568" s="3"/>
      <c r="Q568" s="3">
        <v>0.50700000000000001</v>
      </c>
      <c r="R568" s="3" t="s">
        <v>106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12.598000000000001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77.48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110</v>
      </c>
      <c r="O575" s="3"/>
      <c r="P575" s="3"/>
      <c r="Q575" s="3">
        <v>0.81100000000000005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306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232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109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108.509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105</v>
      </c>
      <c r="O581" s="3"/>
      <c r="P581" s="3"/>
      <c r="Q581" s="3">
        <v>0.63600000000000001</v>
      </c>
      <c r="R581" s="3" t="s">
        <v>106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13.818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84.977999999999994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110</v>
      </c>
      <c r="O588" s="3"/>
      <c r="P588" s="3"/>
      <c r="Q588" s="3">
        <v>0.97299999999999998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307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233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109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113.386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105</v>
      </c>
      <c r="O594" s="3"/>
      <c r="P594" s="3"/>
      <c r="Q594" s="3">
        <v>0.70099999999999996</v>
      </c>
      <c r="R594" s="3" t="s">
        <v>106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14.427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88.727000000000004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110</v>
      </c>
      <c r="O601" s="3"/>
      <c r="P601" s="3"/>
      <c r="Q601" s="3">
        <v>1.054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308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234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109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118.262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105</v>
      </c>
      <c r="O607" s="3"/>
      <c r="P607" s="3"/>
      <c r="Q607" s="3">
        <v>0.76600000000000001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15.037000000000001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92.475999999999999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110</v>
      </c>
      <c r="O614" s="3"/>
      <c r="P614" s="3"/>
      <c r="Q614" s="3">
        <v>1.135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309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235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109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86.563000000000002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105</v>
      </c>
      <c r="O620" s="3"/>
      <c r="P620" s="3"/>
      <c r="Q620" s="3">
        <v>0.32600000000000001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11.074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68.108000000000004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110</v>
      </c>
      <c r="O627" s="3"/>
      <c r="P627" s="3"/>
      <c r="Q627" s="3">
        <v>0.56699999999999995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310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236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91.44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105</v>
      </c>
      <c r="O633" s="3"/>
      <c r="P633" s="3"/>
      <c r="Q633" s="3">
        <v>0.39300000000000002</v>
      </c>
      <c r="R633" s="3" t="s">
        <v>106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11.683999999999999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71.856999999999999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110</v>
      </c>
      <c r="O640" s="3"/>
      <c r="P640" s="3"/>
      <c r="Q640" s="3">
        <v>0.64900000000000002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311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237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109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96.316999999999993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105</v>
      </c>
      <c r="O646" s="3"/>
      <c r="P646" s="3"/>
      <c r="Q646" s="3">
        <v>0.46100000000000002</v>
      </c>
      <c r="R646" s="3" t="s">
        <v>106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12.294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75.605999999999995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110</v>
      </c>
      <c r="O653" s="3"/>
      <c r="P653" s="3"/>
      <c r="Q653" s="3">
        <v>0.73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312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238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109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101.194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105</v>
      </c>
      <c r="O659" s="3"/>
      <c r="P659" s="3"/>
      <c r="Q659" s="3">
        <v>0.52800000000000002</v>
      </c>
      <c r="R659" s="3" t="s">
        <v>106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12.903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79.355000000000004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110</v>
      </c>
      <c r="O666" s="3"/>
      <c r="P666" s="3"/>
      <c r="Q666" s="3">
        <v>0.81100000000000005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313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239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109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110.947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105</v>
      </c>
      <c r="O672" s="3"/>
      <c r="P672" s="3"/>
      <c r="Q672" s="3">
        <v>0.66300000000000003</v>
      </c>
      <c r="R672" s="3" t="s">
        <v>106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14.122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86.852999999999994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110</v>
      </c>
      <c r="O679" s="3"/>
      <c r="P679" s="3"/>
      <c r="Q679" s="3">
        <v>0.97299999999999998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314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240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109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115.824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105</v>
      </c>
      <c r="O685" s="3"/>
      <c r="P685" s="3"/>
      <c r="Q685" s="3">
        <v>0.73099999999999998</v>
      </c>
      <c r="R685" s="3" t="s">
        <v>106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14.731999999999999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90.602000000000004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110</v>
      </c>
      <c r="O692" s="3"/>
      <c r="P692" s="3"/>
      <c r="Q692" s="3">
        <v>1.054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315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241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109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120.70099999999999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105</v>
      </c>
      <c r="O698" s="3"/>
      <c r="P698" s="3"/>
      <c r="Q698" s="3">
        <v>0.79800000000000004</v>
      </c>
      <c r="R698" s="3" t="s">
        <v>106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15.342000000000001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94.350999999999999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110</v>
      </c>
      <c r="O705" s="3"/>
      <c r="P705" s="3"/>
      <c r="Q705" s="3">
        <v>1.135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316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242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109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89.001999999999995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105</v>
      </c>
      <c r="O711" s="3"/>
      <c r="P711" s="3"/>
      <c r="Q711" s="3">
        <v>0.33900000000000002</v>
      </c>
      <c r="R711" s="3" t="s">
        <v>106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11.379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69.981999999999999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110</v>
      </c>
      <c r="O718" s="3"/>
      <c r="P718" s="3"/>
      <c r="Q718" s="3">
        <v>1.216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317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243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109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93.878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105</v>
      </c>
      <c r="O724" s="3"/>
      <c r="P724" s="3"/>
      <c r="Q724" s="3">
        <v>0.40899999999999997</v>
      </c>
      <c r="R724" s="3" t="s">
        <v>106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11.989000000000001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73.730999999999995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110</v>
      </c>
      <c r="O731" s="3"/>
      <c r="P731" s="3"/>
      <c r="Q731" s="3">
        <v>1.216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318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244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109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98.754999999999995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105</v>
      </c>
      <c r="O737" s="3"/>
      <c r="P737" s="3"/>
      <c r="Q737" s="3">
        <v>0.47899999999999998</v>
      </c>
      <c r="R737" s="3" t="s">
        <v>106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12.598000000000001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77.48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110</v>
      </c>
      <c r="O744" s="3"/>
      <c r="P744" s="3"/>
      <c r="Q744" s="3">
        <v>1.216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319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245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109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103.63200000000001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105</v>
      </c>
      <c r="O750" s="3"/>
      <c r="P750" s="3"/>
      <c r="Q750" s="3">
        <v>0.55000000000000004</v>
      </c>
      <c r="R750" s="3" t="s">
        <v>106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13.208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81.228999999999999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110</v>
      </c>
      <c r="O757" s="3"/>
      <c r="P757" s="3"/>
      <c r="Q757" s="3">
        <v>1.216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320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246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109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113.386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105</v>
      </c>
      <c r="O763" s="3"/>
      <c r="P763" s="3"/>
      <c r="Q763" s="3">
        <v>0.69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14.427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88.727000000000004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110</v>
      </c>
      <c r="O770" s="3"/>
      <c r="P770" s="3"/>
      <c r="Q770" s="3">
        <v>1.216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321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247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109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118.262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105</v>
      </c>
      <c r="O776" s="3"/>
      <c r="P776" s="3"/>
      <c r="Q776" s="3">
        <v>0.76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15.037000000000001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92.475999999999999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110</v>
      </c>
      <c r="O783" s="3"/>
      <c r="P783" s="3"/>
      <c r="Q783" s="3">
        <v>1.216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322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248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123.139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105</v>
      </c>
      <c r="O789" s="3"/>
      <c r="P789" s="3"/>
      <c r="Q789" s="3">
        <v>0.83</v>
      </c>
      <c r="R789" s="3" t="s">
        <v>106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15.646000000000001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96.224999999999994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110</v>
      </c>
      <c r="O796" s="3"/>
      <c r="P796" s="3"/>
      <c r="Q796" s="3">
        <v>1.216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323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249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109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90.626999999999995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105</v>
      </c>
      <c r="O802" s="3"/>
      <c r="P802" s="3"/>
      <c r="Q802" s="3">
        <v>0.34799999999999998</v>
      </c>
      <c r="R802" s="3" t="s">
        <v>106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11.582000000000001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71.231999999999999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110</v>
      </c>
      <c r="O809" s="3"/>
      <c r="P809" s="3"/>
      <c r="Q809" s="3">
        <v>1.2430000000000001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324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250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109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95.504000000000005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105</v>
      </c>
      <c r="O815" s="3"/>
      <c r="P815" s="3"/>
      <c r="Q815" s="3">
        <v>0.42</v>
      </c>
      <c r="R815" s="3" t="s">
        <v>106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12.192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74.980999999999995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110</v>
      </c>
      <c r="O822" s="3"/>
      <c r="P822" s="3"/>
      <c r="Q822" s="3">
        <v>1.2430000000000001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325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251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109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100.381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105</v>
      </c>
      <c r="O828" s="3"/>
      <c r="P828" s="3"/>
      <c r="Q828" s="3">
        <v>0.49199999999999999</v>
      </c>
      <c r="R828" s="3" t="s">
        <v>106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12.802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78.73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110</v>
      </c>
      <c r="O835" s="3"/>
      <c r="P835" s="3"/>
      <c r="Q835" s="3">
        <v>1.2430000000000001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326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252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109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105.258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105</v>
      </c>
      <c r="O841" s="3"/>
      <c r="P841" s="3"/>
      <c r="Q841" s="3">
        <v>0.56399999999999995</v>
      </c>
      <c r="R841" s="3" t="s">
        <v>106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13.411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82.478999999999999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110</v>
      </c>
      <c r="O848" s="3"/>
      <c r="P848" s="3"/>
      <c r="Q848" s="3">
        <v>1.2430000000000001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327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253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109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115.011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105</v>
      </c>
      <c r="O854" s="3"/>
      <c r="P854" s="3"/>
      <c r="Q854" s="3">
        <v>0.70799999999999996</v>
      </c>
      <c r="R854" s="3" t="s">
        <v>106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14.63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89.977000000000004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110</v>
      </c>
      <c r="O861" s="3"/>
      <c r="P861" s="3"/>
      <c r="Q861" s="3">
        <v>1.2430000000000001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328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254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109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119.88800000000001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105</v>
      </c>
      <c r="O867" s="3"/>
      <c r="P867" s="3"/>
      <c r="Q867" s="3">
        <v>0.78</v>
      </c>
      <c r="R867" s="3" t="s">
        <v>106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15.24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93.725999999999999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110</v>
      </c>
      <c r="O874" s="3"/>
      <c r="P874" s="3"/>
      <c r="Q874" s="3">
        <v>1.2430000000000001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329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255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109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124.765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105</v>
      </c>
      <c r="O880" s="3"/>
      <c r="P880" s="3"/>
      <c r="Q880" s="3">
        <v>0.85199999999999998</v>
      </c>
      <c r="R880" s="3" t="s">
        <v>106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15.85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97.474999999999994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110</v>
      </c>
      <c r="O887" s="3"/>
      <c r="P887" s="3"/>
      <c r="Q887" s="3">
        <v>1.2430000000000001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330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256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109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93.878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105</v>
      </c>
      <c r="O893" s="3"/>
      <c r="P893" s="3"/>
      <c r="Q893" s="3">
        <v>0.36599999999999999</v>
      </c>
      <c r="R893" s="3" t="s">
        <v>106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11.989000000000001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73.730999999999995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110</v>
      </c>
      <c r="O900" s="3"/>
      <c r="P900" s="3"/>
      <c r="Q900" s="3">
        <v>1.2969999999999999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331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257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109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105</v>
      </c>
      <c r="O906" s="3"/>
      <c r="P906" s="3"/>
      <c r="Q906" s="3">
        <v>0.441</v>
      </c>
      <c r="R906" s="3" t="s">
        <v>106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12.598000000000001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77.48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110</v>
      </c>
      <c r="O913" s="3"/>
      <c r="P913" s="3"/>
      <c r="Q913" s="3">
        <v>1.2969999999999999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332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258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109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103.63200000000001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105</v>
      </c>
      <c r="O919" s="3"/>
      <c r="P919" s="3"/>
      <c r="Q919" s="3">
        <v>0.51700000000000002</v>
      </c>
      <c r="R919" s="3" t="s">
        <v>106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13.208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81.228999999999999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110</v>
      </c>
      <c r="O926" s="3"/>
      <c r="P926" s="3"/>
      <c r="Q926" s="3">
        <v>1.2969999999999999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333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259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109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108.509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105</v>
      </c>
      <c r="O932" s="3"/>
      <c r="P932" s="3"/>
      <c r="Q932" s="3">
        <v>0.59199999999999997</v>
      </c>
      <c r="R932" s="3" t="s">
        <v>106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13.818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84.977999999999994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110</v>
      </c>
      <c r="O939" s="3"/>
      <c r="P939" s="3"/>
      <c r="Q939" s="3">
        <v>1.2969999999999999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334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260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109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118.262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105</v>
      </c>
      <c r="O945" s="3"/>
      <c r="P945" s="3"/>
      <c r="Q945" s="3">
        <v>0.74399999999999999</v>
      </c>
      <c r="R945" s="3" t="s">
        <v>106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15.037000000000001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92.475999999999999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110</v>
      </c>
      <c r="O952" s="3"/>
      <c r="P952" s="3"/>
      <c r="Q952" s="3">
        <v>1.2969999999999999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335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261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109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123.139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105</v>
      </c>
      <c r="O958" s="3"/>
      <c r="P958" s="3"/>
      <c r="Q958" s="3">
        <v>0.81899999999999995</v>
      </c>
      <c r="R958" s="3" t="s">
        <v>106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15.646000000000001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96.224999999999994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110</v>
      </c>
      <c r="O965" s="3"/>
      <c r="P965" s="3"/>
      <c r="Q965" s="3">
        <v>1.2969999999999999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336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262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109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128.01599999999999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105</v>
      </c>
      <c r="O971" s="3"/>
      <c r="P971" s="3"/>
      <c r="Q971" s="3">
        <v>0.89500000000000002</v>
      </c>
      <c r="R971" s="3" t="s">
        <v>106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16.256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99.974000000000004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110</v>
      </c>
      <c r="O978" s="3"/>
      <c r="P978" s="3"/>
      <c r="Q978" s="3">
        <v>1.2969999999999999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337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2026-06-02T09:01:21Z</dcterms:modified>
</cp:coreProperties>
</file>