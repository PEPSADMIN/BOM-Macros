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6" i="13" l="1"/>
  <c r="G4" i="13"/>
  <c r="H4" i="13" s="1"/>
  <c r="G3" i="13"/>
  <c r="G5" i="13" l="1"/>
  <c r="H5" i="13" s="1"/>
  <c r="G13" i="13" l="1"/>
  <c r="H14" i="13" l="1"/>
  <c r="H13" i="13" l="1"/>
  <c r="H12" i="13"/>
  <c r="H11" i="13"/>
  <c r="H10" i="13"/>
  <c r="H9" i="13"/>
  <c r="G8" i="13"/>
  <c r="H8" i="13" s="1"/>
  <c r="G7" i="13"/>
  <c r="H7" i="13" s="1"/>
  <c r="H6" i="13"/>
  <c r="H3" i="13"/>
  <c r="H2" i="13"/>
</calcChain>
</file>

<file path=xl/sharedStrings.xml><?xml version="1.0" encoding="utf-8"?>
<sst xmlns="http://schemas.openxmlformats.org/spreadsheetml/2006/main" count="11007" uniqueCount="337">
  <si>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</si>
  <si>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</si>
  <si>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</si>
  <si>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</si>
  <si>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</si>
  <si>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</si>
  <si>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</si>
  <si>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</si>
  <si>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</si>
  <si>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</si>
  <si>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</si>
  <si>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</si>
  <si>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</si>
  <si>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</si>
  <si>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</si>
  <si>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</si>
  <si>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</si>
  <si>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</si>
  <si>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</si>
  <si>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</si>
  <si>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</si>
  <si>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</si>
  <si>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</si>
  <si>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</si>
  <si>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</si>
  <si>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</si>
  <si>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</si>
  <si>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</si>
  <si>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</si>
  <si>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</si>
  <si>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</si>
  <si>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</si>
  <si>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</si>
  <si>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</si>
  <si>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</si>
  <si>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</si>
  <si>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</si>
  <si>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</si>
  <si>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</si>
  <si>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</si>
  <si>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</si>
  <si>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</si>
  <si>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</si>
  <si>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</si>
  <si>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</si>
  <si>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</si>
  <si>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</si>
  <si>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</si>
  <si>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</si>
  <si>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</si>
  <si>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</si>
  <si>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</si>
  <si>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</si>
  <si>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</si>
  <si>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</si>
  <si>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</si>
  <si>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</si>
  <si>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</si>
  <si>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</si>
  <si>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</si>
  <si>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</si>
  <si>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</si>
  <si>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</si>
  <si>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</si>
  <si>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</si>
  <si>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</si>
  <si>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</si>
  <si>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</si>
  <si>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</si>
  <si>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</si>
  <si>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</si>
  <si>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</si>
  <si>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</si>
  <si>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</si>
  <si>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</si>
  <si>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</si>
  <si>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</si>
  <si>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</si>
  <si>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</si>
  <si>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</si>
  <si>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</si>
  <si>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</si>
  <si>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</si>
  <si>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</si>
  <si>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</si>
  <si>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</si>
  <si>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</si>
  <si>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</si>
  <si>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</si>
  <si>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</si>
  <si>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</si>
  <si>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</si>
  <si>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</si>
  <si>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</si>
  <si>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</si>
  <si>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</si>
  <si>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</si>
  <si>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</si>
  <si>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</si>
  <si>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</si>
  <si>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</si>
  <si>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</si>
  <si>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</si>
  <si>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</si>
  <si>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</si>
  <si>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</si>
  <si>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</si>
  <si>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</si>
  <si>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SFG-RTHTMTRG-BONPOC-QUILT</t>
  </si>
  <si>
    <t>RMI-PVC-90</t>
  </si>
  <si>
    <t>RML-CS-PL-12.25</t>
  </si>
  <si>
    <t>SFG-RTHTMTRG-BONPOC-BP</t>
  </si>
  <si>
    <t>RTHTMTPKORG72X33X12</t>
  </si>
  <si>
    <t>60D-RB-MAT-FOAM-71.50X32.50X60MM</t>
  </si>
  <si>
    <t>RTHTMTPKORG72X39X12</t>
  </si>
  <si>
    <t>60D-RB-MAT-FOAM-71.50X38.50X60MM</t>
  </si>
  <si>
    <t>RTHTMTPKORG72X45X12</t>
  </si>
  <si>
    <t>60D-RB-MAT-FOAM-71.50X44.50X60MM</t>
  </si>
  <si>
    <t>RTHTMTPKORG72X51X12</t>
  </si>
  <si>
    <t>60D-RB-MAT-FOAM-71.50X50.50X60MM</t>
  </si>
  <si>
    <t>RTHTMTPKORG72X54X12</t>
  </si>
  <si>
    <t>60D-RB-MAT-FOAM-71.50X53.50X60MM</t>
  </si>
  <si>
    <t>RTHTMTPKORG72X57X12</t>
  </si>
  <si>
    <t>60D-RB-MAT-FOAM-71.50X56.50X60MM</t>
  </si>
  <si>
    <t>RTHTMTPKORG72X63X12</t>
  </si>
  <si>
    <t>60D-RB-MAT-FOAM-71.50X62.50X60MM</t>
  </si>
  <si>
    <t>RTHTMTPKORG72X69X12</t>
  </si>
  <si>
    <t>60D-RB-MAT-FOAM-71.50X68.50X60MM</t>
  </si>
  <si>
    <t>RTHTMTPKORG75X33X12</t>
  </si>
  <si>
    <t>60D-RB-MAT-FOAM-74.50X32.50X60MM</t>
  </si>
  <si>
    <t>RTHTMTPKORG75X39X12</t>
  </si>
  <si>
    <t>60D-RB-MAT-FOAM-74.50X38.50X60MM</t>
  </si>
  <si>
    <t>RTHTMTPKORG75X45X12</t>
  </si>
  <si>
    <t>60D-RB-MAT-FOAM-74.50X44.50X60MM</t>
  </si>
  <si>
    <t>RTHTMTPKORG75X51X12</t>
  </si>
  <si>
    <t>60D-RB-MAT-FOAM-74.50X50.50X60MM</t>
  </si>
  <si>
    <t>RTHTMTPKORG75X54X12</t>
  </si>
  <si>
    <t>60D-RB-MAT-FOAM-74.50X53.50X60MM</t>
  </si>
  <si>
    <t>RTHTMTPKORG75X57X12</t>
  </si>
  <si>
    <t>60D-RB-MAT-FOAM-74.50X56.50X60MM</t>
  </si>
  <si>
    <t>RTHTMTPKORG75X63X12</t>
  </si>
  <si>
    <t>60D-RB-MAT-FOAM-74.50X62.50X60MM</t>
  </si>
  <si>
    <t>RTHTMTPKORG75X69X12</t>
  </si>
  <si>
    <t>60D-RB-MAT-FOAM-74.50X68.50X60MM</t>
  </si>
  <si>
    <t>RTHTMTPKORG78X33X12</t>
  </si>
  <si>
    <t>60D-RB-MAT-FOAM-77.50X32.50X60MM</t>
  </si>
  <si>
    <t>RTHTMTPKORG78X39X12</t>
  </si>
  <si>
    <t>60D-RB-MAT-FOAM-77.50X38.50X60MM</t>
  </si>
  <si>
    <t>RTHTMTPKORG78X45X12</t>
  </si>
  <si>
    <t>60D-RB-MAT-FOAM-77.50X44.50X60MM</t>
  </si>
  <si>
    <t>RTHTMTPKORG78X51X12</t>
  </si>
  <si>
    <t>60D-RB-MAT-FOAM-77.50X50.50X60MM</t>
  </si>
  <si>
    <t>RTHTMTPKORG78X54X12</t>
  </si>
  <si>
    <t>60D-RB-MAT-FOAM-77.50X53.50X60MM</t>
  </si>
  <si>
    <t>RTHTMTPKORG78X57X12</t>
  </si>
  <si>
    <t>60D-RB-MAT-FOAM-77.50X56.50X60MM</t>
  </si>
  <si>
    <t>RTHTMTPKORG78X63X12</t>
  </si>
  <si>
    <t>60D-RB-MAT-FOAM-77.50X62.50X60MM</t>
  </si>
  <si>
    <t>RTHTMTPKORG78X69X12</t>
  </si>
  <si>
    <t>60D-RB-MAT-FOAM-77.50X68.50X60MM</t>
  </si>
  <si>
    <t>RTHTMTPKORG80X33X12</t>
  </si>
  <si>
    <t>60D-RB-MAT-FOAM-79.50X32.50X60MM</t>
  </si>
  <si>
    <t>RTHTMTPKORG80X39X12</t>
  </si>
  <si>
    <t>60D-RB-MAT-FOAM-79.50X38.50X60MM</t>
  </si>
  <si>
    <t>RTHTMTPKORG80X45X12</t>
  </si>
  <si>
    <t>60D-RB-MAT-FOAM-79.50X44.50X60MM</t>
  </si>
  <si>
    <t>RTHTMTPKORG80X51X12</t>
  </si>
  <si>
    <t>60D-RB-MAT-FOAM-79.50X50.50X60MM</t>
  </si>
  <si>
    <t>RTHTMTPKORG80X54X12</t>
  </si>
  <si>
    <t>60D-RB-MAT-FOAM-79.50X53.50X60MM</t>
  </si>
  <si>
    <t>RTHTMTPKORG80X57X12</t>
  </si>
  <si>
    <t>60D-RB-MAT-FOAM-79.50X56.50X60MM</t>
  </si>
  <si>
    <t>RTHTMTPKORG80X63X12</t>
  </si>
  <si>
    <t>60D-RB-MAT-FOAM-79.50X62.50X60MM</t>
  </si>
  <si>
    <t>RTHTMTPKORG80X69X12</t>
  </si>
  <si>
    <t>60D-RB-MAT-FOAM-79.50X68.50X60MM</t>
  </si>
  <si>
    <t>RTHTMTPKORG84X33X12</t>
  </si>
  <si>
    <t>60D-RB-MAT-FOAM-83.50X32.50X60MM</t>
  </si>
  <si>
    <t>RTHTMTPKORG84X39X12</t>
  </si>
  <si>
    <t>60D-RB-MAT-FOAM-83.50X38.50X60MM</t>
  </si>
  <si>
    <t>RTHTMTPKORG84X45X12</t>
  </si>
  <si>
    <t>60D-RB-MAT-FOAM-83.50X44.50X60MM</t>
  </si>
  <si>
    <t>RTHTMTPKORG84X51X12</t>
  </si>
  <si>
    <t>60D-RB-MAT-FOAM-83.50X50.50X60MM</t>
  </si>
  <si>
    <t>RTHTMTPKORG84X54X12</t>
  </si>
  <si>
    <t>60D-RB-MAT-FOAM-83.50X53.50X60MM</t>
  </si>
  <si>
    <t>RTHTMTPKORG84X57X12</t>
  </si>
  <si>
    <t>60D-RB-MAT-FOAM-83.50X56.50X60MM</t>
  </si>
  <si>
    <t>RTHTMTPKORG84X63X12</t>
  </si>
  <si>
    <t>60D-RB-MAT-FOAM-83.50X62.50X60MM</t>
  </si>
  <si>
    <t>RTHTMTPKORG84X69X12</t>
  </si>
  <si>
    <t>60D-RB-MAT-FOAM-83.50X68.50X60MM</t>
  </si>
  <si>
    <t>RTHTMTPKORG72X30X12</t>
  </si>
  <si>
    <t>60D-RB-MAT-FOAM-71.50X29.50X60MM</t>
  </si>
  <si>
    <t>RTHTMTPKORG72X36X12</t>
  </si>
  <si>
    <t>60D-RB-MAT-FOAM-71.50X35.50X60MM</t>
  </si>
  <si>
    <t>RTHTMTPKORG72X42X12</t>
  </si>
  <si>
    <t>60D-RB-MAT-FOAM-71.50X41.50X60MM</t>
  </si>
  <si>
    <t>RTHTMTPKORG72X48X12</t>
  </si>
  <si>
    <t>60D-RB-MAT-FOAM-71.50X47.50X60MM</t>
  </si>
  <si>
    <t>RTHTMTPKORG72X60X12</t>
  </si>
  <si>
    <t>60D-RB-MAT-FOAM-71.50X59.50X60MM</t>
  </si>
  <si>
    <t>RTHTMTPKORG72X66X12</t>
  </si>
  <si>
    <t>60D-RB-MAT-FOAM-71.50X65.50X60MM</t>
  </si>
  <si>
    <t>RTHTMTPKORG72X72X12</t>
  </si>
  <si>
    <t>60D-RB-MAT-FOAM-71.50X71.50X60MM</t>
  </si>
  <si>
    <t>RTHTMTPKORG75X30X12</t>
  </si>
  <si>
    <t>60D-RB-MAT-FOAM-74.50X29.50X60MM</t>
  </si>
  <si>
    <t>RTHTMTPKORG75X36X12</t>
  </si>
  <si>
    <t>60D-RB-MAT-FOAM-74.50X35.50X60MM</t>
  </si>
  <si>
    <t>RTHTMTPKORG75X42X12</t>
  </si>
  <si>
    <t>60D-RB-MAT-FOAM-74.50X41.50X60MM</t>
  </si>
  <si>
    <t>RTHTMTPKORG75X48X12</t>
  </si>
  <si>
    <t>60D-RB-MAT-FOAM-74.50X47.50X60MM</t>
  </si>
  <si>
    <t>RTHTMTPKORG75X60X12</t>
  </si>
  <si>
    <t>60D-RB-MAT-FOAM-74.50X59.50X60MM</t>
  </si>
  <si>
    <t>RTHTMTPKORG75X66X12</t>
  </si>
  <si>
    <t>60D-RB-MAT-FOAM-74.50X65.50X60MM</t>
  </si>
  <si>
    <t>RTHTMTPKORG75X72X12</t>
  </si>
  <si>
    <t>60D-RB-MAT-FOAM-74.50X71.50X60MM</t>
  </si>
  <si>
    <t>RTHTMTPKORG78X30X12</t>
  </si>
  <si>
    <t>60D-RB-MAT-FOAM-77.50X29.50X60MM</t>
  </si>
  <si>
    <t>RTHTMTPKORG78X36X12</t>
  </si>
  <si>
    <t>60D-RB-MAT-FOAM-77.50X35.50X60MM</t>
  </si>
  <si>
    <t>RTHTMTPKORG78X42X12</t>
  </si>
  <si>
    <t>60D-RB-MAT-FOAM-77.50X41.50X60MM</t>
  </si>
  <si>
    <t>RTHTMTPKORG78X48X12</t>
  </si>
  <si>
    <t>60D-RB-MAT-FOAM-77.50X47.50X60MM</t>
  </si>
  <si>
    <t>RTHTMTPKORG78X60X12</t>
  </si>
  <si>
    <t>60D-RB-MAT-FOAM-77.50X59.50X60MM</t>
  </si>
  <si>
    <t>RTHTMTPKORG78X66X12</t>
  </si>
  <si>
    <t>60D-RB-MAT-FOAM-77.50X65.50X60MM</t>
  </si>
  <si>
    <t>RTHTMTPKORG78X72X12</t>
  </si>
  <si>
    <t>60D-RB-MAT-FOAM-77.50X71.50X60MM</t>
  </si>
  <si>
    <t>RTHTMTPKORG80X30X12</t>
  </si>
  <si>
    <t>60D-RB-MAT-FOAM-79.50X29.50X60MM</t>
  </si>
  <si>
    <t>RTHTMTPKORG80X36X12</t>
  </si>
  <si>
    <t>60D-RB-MAT-FOAM-79.50X35.50X60MM</t>
  </si>
  <si>
    <t>RTHTMTPKORG80X42X12</t>
  </si>
  <si>
    <t>60D-RB-MAT-FOAM-79.50X41.50X60MM</t>
  </si>
  <si>
    <t>RTHTMTPKORG80X48X12</t>
  </si>
  <si>
    <t>60D-RB-MAT-FOAM-79.50X47.50X60MM</t>
  </si>
  <si>
    <t>RTHTMTPKORG80X60X12</t>
  </si>
  <si>
    <t>60D-RB-MAT-FOAM-79.50X59.50X60MM</t>
  </si>
  <si>
    <t>RTHTMTPKORG80X66X12</t>
  </si>
  <si>
    <t>60D-RB-MAT-FOAM-79.50X65.50X60MM</t>
  </si>
  <si>
    <t>RTHTMTPKORG80X72X12</t>
  </si>
  <si>
    <t>60D-RB-MAT-FOAM-79.50X71.50X60MM</t>
  </si>
  <si>
    <t>RTHTMTPKORG84X30X12</t>
  </si>
  <si>
    <t>60D-RB-MAT-FOAM-83.50X29.50X60MM</t>
  </si>
  <si>
    <t>RTHTMTPKORG84X36X12</t>
  </si>
  <si>
    <t>60D-RB-MAT-FOAM-83.50X35.50X60MM</t>
  </si>
  <si>
    <t>RTHTMTPKORG84X42X12</t>
  </si>
  <si>
    <t>60D-RB-MAT-FOAM-83.50X41.50X60MM</t>
  </si>
  <si>
    <t>RTHTMTPKORG84X48X12</t>
  </si>
  <si>
    <t>60D-RB-MAT-FOAM-83.50X47.50X60MM</t>
  </si>
  <si>
    <t>RTHTMTPKORG84X60X12</t>
  </si>
  <si>
    <t>60D-RB-MAT-FOAM-83.50X59.50X60MM</t>
  </si>
  <si>
    <t>RTHTMTPKORG84X66X12</t>
  </si>
  <si>
    <t>60D-RB-MAT-FOAM-83.50X65.50X60MM</t>
  </si>
  <si>
    <t>RTHTMTPKORG84X72X12</t>
  </si>
  <si>
    <t>60D-RB-MAT-FOAM-83.50X71.50X60MM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</si>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</sst>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0" sqref="E1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"RTHTMTPKORG"&amp;$K$2&amp;"X"&amp;$L$2&amp;"X"&amp;IF($M$2&gt;9,$M$2,"0"&amp;$M$2)</f>
        <v>RTHTMTPKORG75X36X12</v>
      </c>
      <c r="E2" s="1" t="str">
        <f>"OEPKBOXSR"&amp;(K2-0.5)&amp;"0"&amp;"X"&amp;(L2-0.5)&amp;"0"&amp;"X"&amp;IF(M2=6,"110",IF(M2=8,"160",IF(M2&gt;9,"220",0)))</f>
        <v>OEPKBOXSR74.50X35.50X220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12</v>
      </c>
      <c r="N2" s="6"/>
      <c r="P2" s="4" t="s">
        <v>91</v>
      </c>
      <c r="R2" s="34" t="s">
        <v>92</v>
      </c>
      <c r="S2" s="34" t="s">
        <v>93</v>
      </c>
      <c r="T2" s="34">
        <v>12</v>
      </c>
      <c r="U2" s="35"/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"RTHTMTPKORG"&amp;$K$2&amp;"X"&amp;$L$2&amp;"X"&amp;IF($M$2&gt;9,$M$2,"0"&amp;$M$2)</f>
        <v>RTHTMTPKORG75X36X12</v>
      </c>
      <c r="E3" s="19" t="s">
        <v>108</v>
      </c>
      <c r="F3" s="11" t="s">
        <v>15</v>
      </c>
      <c r="G3" s="26">
        <f>IF(K2&lt;79,(L2+1),IF(L2&lt;37,(K2+1),(K2+1)))*0.0254</f>
        <v>0.93979999999999997</v>
      </c>
      <c r="H3" s="10">
        <f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12</v>
      </c>
      <c r="U3" s="35"/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RTHTMTPKORG75X36X12</v>
      </c>
      <c r="E4" s="41" t="s">
        <v>111</v>
      </c>
      <c r="F4" s="11" t="s">
        <v>15</v>
      </c>
      <c r="G4" s="10">
        <f>IF(K2&lt;79,(L2+1),IF(L2&lt;37,(K2+1),(K2+1)))*0.0254</f>
        <v>0.93979999999999997</v>
      </c>
      <c r="H4" s="10">
        <f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12</v>
      </c>
      <c r="U4" s="35"/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1"/>
        <v>RTHTMTPKORG75X36X12</v>
      </c>
      <c r="E5" s="21" t="s">
        <v>18</v>
      </c>
      <c r="F5" s="40" t="s">
        <v>15</v>
      </c>
      <c r="G5" s="16">
        <f>(K2+L2+1.5)*4*0.0254*8</f>
        <v>91.44</v>
      </c>
      <c r="H5" s="10">
        <f>ROUND(G5,3)</f>
        <v>91.44</v>
      </c>
      <c r="I5" s="8" t="s">
        <v>14</v>
      </c>
      <c r="J5" s="12"/>
      <c r="O5" s="18"/>
      <c r="R5" s="34" t="s">
        <v>92</v>
      </c>
      <c r="S5" s="34" t="s">
        <v>96</v>
      </c>
      <c r="T5" s="34">
        <v>12</v>
      </c>
      <c r="U5" s="35"/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RTHTMTPKORG75X36X12</v>
      </c>
      <c r="E6" s="21" t="s">
        <v>105</v>
      </c>
      <c r="F6" s="15" t="s">
        <v>106</v>
      </c>
      <c r="G6" s="23">
        <f>((K2-1)*(L2-1)/144)*0.00729*3</f>
        <v>0.39335624999999996</v>
      </c>
      <c r="H6" s="10">
        <f t="shared" ref="H6:H13" si="2">ROUND(G6,3)</f>
        <v>0.39300000000000002</v>
      </c>
      <c r="I6" s="8" t="s">
        <v>14</v>
      </c>
      <c r="J6" s="12"/>
      <c r="R6" s="34" t="s">
        <v>92</v>
      </c>
      <c r="S6" s="34" t="s">
        <v>97</v>
      </c>
      <c r="T6" s="34">
        <v>12</v>
      </c>
      <c r="U6" s="35"/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RTHTMTPKORG75X36X12</v>
      </c>
      <c r="E7" s="21" t="s">
        <v>107</v>
      </c>
      <c r="F7" s="11" t="s">
        <v>15</v>
      </c>
      <c r="G7" s="10">
        <f>(K2+L2+4)*2*0.0254*2</f>
        <v>11.683999999999999</v>
      </c>
      <c r="H7" s="10">
        <f t="shared" si="2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12</v>
      </c>
      <c r="U7" s="35"/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RTHTMTPKORG75X36X12</v>
      </c>
      <c r="E8" s="21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12</v>
      </c>
      <c r="U8" s="35"/>
    </row>
    <row r="9" spans="1:21" x14ac:dyDescent="0.25">
      <c r="A9" s="36">
        <v>8</v>
      </c>
      <c r="B9" s="7" t="s">
        <v>20</v>
      </c>
      <c r="C9" s="9" t="s">
        <v>20</v>
      </c>
      <c r="D9" s="7" t="str">
        <f t="shared" si="1"/>
        <v>RTHTMTPKORG75X36X12</v>
      </c>
      <c r="E9" s="21" t="s">
        <v>110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12</v>
      </c>
      <c r="U9" s="35"/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RTHTMTPKORG75X36X12</v>
      </c>
      <c r="E10" s="21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12</v>
      </c>
      <c r="U10" s="35"/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RTHTMTPKORG75X36X12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12</v>
      </c>
      <c r="U11" s="35"/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RTHTMTPKORG75X36X12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12</v>
      </c>
      <c r="U12" s="35"/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RTHTMTPKORG75X36X12</v>
      </c>
      <c r="E13" s="18" t="s">
        <v>109</v>
      </c>
      <c r="F13" s="11" t="s">
        <v>13</v>
      </c>
      <c r="G13" s="24">
        <f>IF(K2&lt;73,((L2*2)+(M2*2)+4),((K2*2)+(M2*2)+4))*0.0254*89.5*0.0254*0.00009*1300</f>
        <v>1.2025311433199999</v>
      </c>
      <c r="H13" s="10">
        <f t="shared" si="2"/>
        <v>1.2030000000000001</v>
      </c>
      <c r="I13" s="8" t="s">
        <v>14</v>
      </c>
      <c r="J13" s="12"/>
      <c r="K13" s="22"/>
      <c r="R13" s="34" t="s">
        <v>101</v>
      </c>
      <c r="S13" s="34" t="s">
        <v>96</v>
      </c>
      <c r="T13" s="34">
        <v>12</v>
      </c>
      <c r="U13" s="35"/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RTHTMTPKORG75X36X12</v>
      </c>
      <c r="E14" s="39" t="str">
        <f>"60D-RB-MAT-FOAM-"&amp;(K2-0.5)&amp;"0"&amp;"X"&amp;(L2-0.5)&amp;"0"&amp;"X60MM"</f>
        <v>60D-RB-MAT-FOAM-74.50X35.50X60MM</v>
      </c>
      <c r="F14" s="8" t="s">
        <v>11</v>
      </c>
      <c r="G14" s="14">
        <v>1</v>
      </c>
      <c r="H14" s="10">
        <f t="shared" ref="H14" si="3">ROUND(G14,3)</f>
        <v>1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12</v>
      </c>
      <c r="U14" s="35"/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12</v>
      </c>
      <c r="U15" s="35"/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12</v>
      </c>
      <c r="U16" s="35"/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12</v>
      </c>
      <c r="U17" s="35"/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12</v>
      </c>
      <c r="U18" s="35"/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12</v>
      </c>
      <c r="U19" s="35"/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12</v>
      </c>
      <c r="U20" s="35"/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12</v>
      </c>
      <c r="U21" s="35"/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12</v>
      </c>
      <c r="U22" s="35"/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12</v>
      </c>
      <c r="U23" s="35"/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12</v>
      </c>
      <c r="U24" s="35"/>
    </row>
    <row r="25" spans="5:21" x14ac:dyDescent="0.25">
      <c r="N25"/>
      <c r="O25"/>
      <c r="R25" s="34" t="s">
        <v>102</v>
      </c>
      <c r="S25" s="34" t="s">
        <v>100</v>
      </c>
      <c r="T25" s="34">
        <v>12</v>
      </c>
      <c r="U25" s="35"/>
    </row>
    <row r="26" spans="5:21" x14ac:dyDescent="0.25">
      <c r="N26"/>
      <c r="O26"/>
      <c r="R26" s="34" t="s">
        <v>103</v>
      </c>
      <c r="S26" s="34" t="s">
        <v>93</v>
      </c>
      <c r="T26" s="34">
        <v>12</v>
      </c>
      <c r="U26" s="35"/>
    </row>
    <row r="27" spans="5:21" x14ac:dyDescent="0.25">
      <c r="N27"/>
      <c r="O27"/>
      <c r="R27" s="34" t="s">
        <v>103</v>
      </c>
      <c r="S27" s="34" t="s">
        <v>94</v>
      </c>
      <c r="T27" s="34">
        <v>12</v>
      </c>
      <c r="U27" s="35"/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12</v>
      </c>
      <c r="U28" s="35"/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12</v>
      </c>
      <c r="U29" s="35"/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12</v>
      </c>
      <c r="U30" s="35"/>
    </row>
    <row r="31" spans="5:21" x14ac:dyDescent="0.25">
      <c r="N31"/>
      <c r="O31"/>
      <c r="R31" s="34" t="s">
        <v>103</v>
      </c>
      <c r="S31" s="34" t="s">
        <v>98</v>
      </c>
      <c r="T31" s="34">
        <v>12</v>
      </c>
      <c r="U31" s="35"/>
    </row>
    <row r="32" spans="5:21" x14ac:dyDescent="0.25">
      <c r="N32"/>
      <c r="O32"/>
      <c r="R32" s="34" t="s">
        <v>103</v>
      </c>
      <c r="S32" s="34" t="s">
        <v>99</v>
      </c>
      <c r="T32" s="34">
        <v>12</v>
      </c>
      <c r="U32" s="35"/>
    </row>
    <row r="33" spans="14:21" x14ac:dyDescent="0.25">
      <c r="N33"/>
      <c r="O33"/>
      <c r="R33" s="34" t="s">
        <v>103</v>
      </c>
      <c r="S33" s="34" t="s">
        <v>100</v>
      </c>
      <c r="T33" s="34">
        <v>12</v>
      </c>
      <c r="U33" s="35"/>
    </row>
    <row r="34" spans="14:21" x14ac:dyDescent="0.25">
      <c r="N34"/>
      <c r="O34"/>
      <c r="R34" s="34" t="s">
        <v>104</v>
      </c>
      <c r="S34" s="34" t="s">
        <v>93</v>
      </c>
      <c r="T34" s="34">
        <v>12</v>
      </c>
      <c r="U34" s="35"/>
    </row>
    <row r="35" spans="14:21" x14ac:dyDescent="0.25">
      <c r="N35"/>
      <c r="O35"/>
      <c r="R35" s="34" t="s">
        <v>104</v>
      </c>
      <c r="S35" s="34" t="s">
        <v>94</v>
      </c>
      <c r="T35" s="34">
        <v>12</v>
      </c>
      <c r="U35" s="35"/>
    </row>
    <row r="36" spans="14:21" x14ac:dyDescent="0.25">
      <c r="N36"/>
      <c r="O36"/>
      <c r="R36" s="34" t="s">
        <v>104</v>
      </c>
      <c r="S36" s="34" t="s">
        <v>95</v>
      </c>
      <c r="T36" s="34">
        <v>12</v>
      </c>
      <c r="U36" s="35"/>
    </row>
    <row r="37" spans="14:21" x14ac:dyDescent="0.25">
      <c r="N37"/>
      <c r="O37"/>
      <c r="R37" s="34" t="s">
        <v>104</v>
      </c>
      <c r="S37" s="34" t="s">
        <v>96</v>
      </c>
      <c r="T37" s="34">
        <v>12</v>
      </c>
      <c r="U37" s="35"/>
    </row>
    <row r="38" spans="14:21" x14ac:dyDescent="0.25">
      <c r="N38"/>
      <c r="O38"/>
      <c r="R38" s="34" t="s">
        <v>104</v>
      </c>
      <c r="S38" s="34" t="s">
        <v>97</v>
      </c>
      <c r="T38" s="34">
        <v>12</v>
      </c>
      <c r="U38" s="35"/>
    </row>
    <row r="39" spans="14:21" x14ac:dyDescent="0.25">
      <c r="N39"/>
      <c r="O39"/>
      <c r="R39" s="34" t="s">
        <v>104</v>
      </c>
      <c r="S39" s="34" t="s">
        <v>98</v>
      </c>
      <c r="T39" s="34">
        <v>12</v>
      </c>
      <c r="U39" s="35"/>
    </row>
    <row r="40" spans="14:21" x14ac:dyDescent="0.25">
      <c r="N40"/>
      <c r="O40"/>
      <c r="R40" s="34" t="s">
        <v>104</v>
      </c>
      <c r="S40" s="34" t="s">
        <v>99</v>
      </c>
      <c r="T40" s="34">
        <v>12</v>
      </c>
      <c r="U40" s="35"/>
    </row>
    <row r="41" spans="14:21" x14ac:dyDescent="0.25">
      <c r="N41"/>
      <c r="O41"/>
      <c r="R41" s="34" t="s">
        <v>104</v>
      </c>
      <c r="S41" s="34" t="s">
        <v>100</v>
      </c>
      <c r="T41" s="34">
        <v>12</v>
      </c>
      <c r="U41" s="35"/>
    </row>
    <row r="42" spans="14:21" x14ac:dyDescent="0.25">
      <c r="N42"/>
      <c r="O42"/>
      <c r="R42" s="34">
        <v>72</v>
      </c>
      <c r="S42" s="34">
        <v>30</v>
      </c>
      <c r="T42" s="34">
        <v>12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12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12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12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12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12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12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12</v>
      </c>
      <c r="U49" s="35"/>
    </row>
    <row r="50" spans="14:21" x14ac:dyDescent="0.25">
      <c r="R50" s="34">
        <v>75</v>
      </c>
      <c r="S50" s="34">
        <v>36</v>
      </c>
      <c r="T50" s="34">
        <v>12</v>
      </c>
      <c r="U50" s="35"/>
    </row>
    <row r="51" spans="14:21" x14ac:dyDescent="0.25">
      <c r="R51" s="34">
        <v>75</v>
      </c>
      <c r="S51" s="34">
        <v>42</v>
      </c>
      <c r="T51" s="34">
        <v>12</v>
      </c>
      <c r="U51" s="35"/>
    </row>
    <row r="52" spans="14:21" x14ac:dyDescent="0.25">
      <c r="R52" s="34">
        <v>75</v>
      </c>
      <c r="S52" s="34">
        <v>48</v>
      </c>
      <c r="T52" s="34">
        <v>12</v>
      </c>
      <c r="U52" s="35"/>
    </row>
    <row r="53" spans="14:21" x14ac:dyDescent="0.25">
      <c r="R53" s="34">
        <v>75</v>
      </c>
      <c r="S53" s="34">
        <v>60</v>
      </c>
      <c r="T53" s="34">
        <v>12</v>
      </c>
      <c r="U53" s="35"/>
    </row>
    <row r="54" spans="14:21" x14ac:dyDescent="0.25">
      <c r="R54" s="34">
        <v>75</v>
      </c>
      <c r="S54" s="34">
        <v>66</v>
      </c>
      <c r="T54" s="34">
        <v>12</v>
      </c>
      <c r="U54" s="35"/>
    </row>
    <row r="55" spans="14:21" x14ac:dyDescent="0.25">
      <c r="R55" s="34">
        <v>75</v>
      </c>
      <c r="S55" s="34">
        <v>72</v>
      </c>
      <c r="T55" s="34">
        <v>12</v>
      </c>
      <c r="U55" s="35"/>
    </row>
    <row r="56" spans="14:21" x14ac:dyDescent="0.25">
      <c r="R56" s="34">
        <v>78</v>
      </c>
      <c r="S56" s="34">
        <v>30</v>
      </c>
      <c r="T56" s="34">
        <v>12</v>
      </c>
      <c r="U56" s="35"/>
    </row>
    <row r="57" spans="14:21" x14ac:dyDescent="0.25">
      <c r="R57" s="34">
        <v>78</v>
      </c>
      <c r="S57" s="34">
        <v>36</v>
      </c>
      <c r="T57" s="34">
        <v>12</v>
      </c>
      <c r="U57" s="35"/>
    </row>
    <row r="58" spans="14:21" x14ac:dyDescent="0.25">
      <c r="R58" s="34">
        <v>78</v>
      </c>
      <c r="S58" s="34">
        <v>42</v>
      </c>
      <c r="T58" s="34">
        <v>12</v>
      </c>
      <c r="U58" s="35"/>
    </row>
    <row r="59" spans="14:21" x14ac:dyDescent="0.25">
      <c r="R59" s="34">
        <v>78</v>
      </c>
      <c r="S59" s="34">
        <v>48</v>
      </c>
      <c r="T59" s="34">
        <v>12</v>
      </c>
      <c r="U59" s="35"/>
    </row>
    <row r="60" spans="14:21" x14ac:dyDescent="0.25">
      <c r="R60" s="34">
        <v>78</v>
      </c>
      <c r="S60" s="34">
        <v>60</v>
      </c>
      <c r="T60" s="34">
        <v>12</v>
      </c>
      <c r="U60" s="35"/>
    </row>
    <row r="61" spans="14:21" x14ac:dyDescent="0.25">
      <c r="R61" s="34">
        <v>78</v>
      </c>
      <c r="S61" s="34">
        <v>66</v>
      </c>
      <c r="T61" s="34">
        <v>12</v>
      </c>
      <c r="U61" s="35"/>
    </row>
    <row r="62" spans="14:21" x14ac:dyDescent="0.25">
      <c r="R62" s="34">
        <v>78</v>
      </c>
      <c r="S62" s="34">
        <v>72</v>
      </c>
      <c r="T62" s="34">
        <v>12</v>
      </c>
      <c r="U62" s="35"/>
    </row>
    <row r="63" spans="14:21" x14ac:dyDescent="0.25">
      <c r="R63" s="34">
        <v>80</v>
      </c>
      <c r="S63" s="34">
        <v>30</v>
      </c>
      <c r="T63" s="34">
        <v>12</v>
      </c>
      <c r="U63" s="35"/>
    </row>
    <row r="64" spans="14:21" x14ac:dyDescent="0.25">
      <c r="R64" s="34">
        <v>80</v>
      </c>
      <c r="S64" s="34">
        <v>36</v>
      </c>
      <c r="T64" s="34">
        <v>12</v>
      </c>
      <c r="U64" s="35"/>
    </row>
    <row r="65" spans="18:21" x14ac:dyDescent="0.25">
      <c r="R65" s="34">
        <v>80</v>
      </c>
      <c r="S65" s="34">
        <v>42</v>
      </c>
      <c r="T65" s="34">
        <v>12</v>
      </c>
      <c r="U65" s="35"/>
    </row>
    <row r="66" spans="18:21" x14ac:dyDescent="0.25">
      <c r="R66" s="34">
        <v>80</v>
      </c>
      <c r="S66" s="34">
        <v>48</v>
      </c>
      <c r="T66" s="34">
        <v>12</v>
      </c>
      <c r="U66" s="35"/>
    </row>
    <row r="67" spans="18:21" x14ac:dyDescent="0.25">
      <c r="R67" s="34">
        <v>80</v>
      </c>
      <c r="S67" s="34">
        <v>60</v>
      </c>
      <c r="T67" s="34">
        <v>12</v>
      </c>
      <c r="U67" s="35"/>
    </row>
    <row r="68" spans="18:21" x14ac:dyDescent="0.25">
      <c r="R68" s="34">
        <v>80</v>
      </c>
      <c r="S68" s="34">
        <v>66</v>
      </c>
      <c r="T68" s="34">
        <v>12</v>
      </c>
      <c r="U68" s="35"/>
    </row>
    <row r="69" spans="18:21" x14ac:dyDescent="0.25">
      <c r="R69" s="34">
        <v>80</v>
      </c>
      <c r="S69" s="34">
        <v>72</v>
      </c>
      <c r="T69" s="34">
        <v>12</v>
      </c>
      <c r="U69" s="35"/>
    </row>
    <row r="70" spans="18:21" x14ac:dyDescent="0.25">
      <c r="R70" s="34">
        <v>84</v>
      </c>
      <c r="S70" s="34">
        <v>30</v>
      </c>
      <c r="T70" s="34">
        <v>12</v>
      </c>
      <c r="U70" s="35"/>
    </row>
    <row r="71" spans="18:21" x14ac:dyDescent="0.25">
      <c r="R71" s="34">
        <v>84</v>
      </c>
      <c r="S71" s="34">
        <v>36</v>
      </c>
      <c r="T71" s="34">
        <v>12</v>
      </c>
      <c r="U71" s="35"/>
    </row>
    <row r="72" spans="18:21" x14ac:dyDescent="0.25">
      <c r="R72" s="34">
        <v>84</v>
      </c>
      <c r="S72" s="34">
        <v>42</v>
      </c>
      <c r="T72" s="34">
        <v>12</v>
      </c>
      <c r="U72" s="35"/>
    </row>
    <row r="73" spans="18:21" x14ac:dyDescent="0.25">
      <c r="R73" s="34">
        <v>84</v>
      </c>
      <c r="S73" s="34">
        <v>48</v>
      </c>
      <c r="T73" s="34">
        <v>12</v>
      </c>
      <c r="U73" s="35"/>
    </row>
    <row r="74" spans="18:21" x14ac:dyDescent="0.25">
      <c r="R74" s="34">
        <v>84</v>
      </c>
      <c r="S74" s="34">
        <v>60</v>
      </c>
      <c r="T74" s="34">
        <v>12</v>
      </c>
      <c r="U74" s="35"/>
    </row>
    <row r="75" spans="18:21" x14ac:dyDescent="0.25">
      <c r="R75" s="34">
        <v>84</v>
      </c>
      <c r="S75" s="34">
        <v>66</v>
      </c>
      <c r="T75" s="34">
        <v>12</v>
      </c>
      <c r="U75" s="35"/>
    </row>
    <row r="76" spans="18:21" x14ac:dyDescent="0.25">
      <c r="R76" s="34">
        <v>84</v>
      </c>
      <c r="S76" s="34">
        <v>72</v>
      </c>
      <c r="T76" s="34">
        <v>12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112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108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111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105</v>
      </c>
      <c r="E6" t="s">
        <v>106</v>
      </c>
      <c r="F6">
        <v>0.34499999999999997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109</v>
      </c>
      <c r="E13" t="s">
        <v>13</v>
      </c>
      <c r="F13">
        <v>0.63500000000000001</v>
      </c>
      <c r="G13" t="s">
        <v>14</v>
      </c>
    </row>
    <row r="14" spans="1:7" x14ac:dyDescent="0.25">
      <c r="A14">
        <v>1</v>
      </c>
      <c r="B14" t="s">
        <v>112</v>
      </c>
      <c r="C14">
        <v>130</v>
      </c>
      <c r="D14" t="s">
        <v>113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263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108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111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105</v>
      </c>
      <c r="E19" t="s">
        <v>106</v>
      </c>
      <c r="F19">
        <v>0.41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0.71599999999999997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115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116</v>
      </c>
      <c r="C28">
        <v>10</v>
      </c>
      <c r="D28" t="s">
        <v>264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116</v>
      </c>
      <c r="C29">
        <v>20</v>
      </c>
      <c r="D29" t="s">
        <v>108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116</v>
      </c>
      <c r="C30">
        <v>30</v>
      </c>
      <c r="D30" t="s">
        <v>111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116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116</v>
      </c>
      <c r="C32">
        <v>50</v>
      </c>
      <c r="D32" t="s">
        <v>105</v>
      </c>
      <c r="E32" t="s">
        <v>106</v>
      </c>
      <c r="F32">
        <v>0.47399999999999998</v>
      </c>
      <c r="G32" t="s">
        <v>14</v>
      </c>
    </row>
    <row r="33" spans="1:7" x14ac:dyDescent="0.25">
      <c r="A33">
        <v>3</v>
      </c>
      <c r="B33" t="s">
        <v>116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116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116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116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116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116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116</v>
      </c>
      <c r="C39">
        <v>120</v>
      </c>
      <c r="D39" t="s">
        <v>109</v>
      </c>
      <c r="E39" t="s">
        <v>13</v>
      </c>
      <c r="F39">
        <v>0.79700000000000004</v>
      </c>
      <c r="G39" t="s">
        <v>14</v>
      </c>
    </row>
    <row r="40" spans="1:7" x14ac:dyDescent="0.25">
      <c r="A40">
        <v>3</v>
      </c>
      <c r="B40" t="s">
        <v>116</v>
      </c>
      <c r="C40">
        <v>130</v>
      </c>
      <c r="D40" t="s">
        <v>117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118</v>
      </c>
      <c r="C41">
        <v>10</v>
      </c>
      <c r="D41" t="s">
        <v>265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118</v>
      </c>
      <c r="C42">
        <v>20</v>
      </c>
      <c r="D42" t="s">
        <v>108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118</v>
      </c>
      <c r="C43">
        <v>30</v>
      </c>
      <c r="D43" t="s">
        <v>111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118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118</v>
      </c>
      <c r="C45">
        <v>50</v>
      </c>
      <c r="D45" t="s">
        <v>105</v>
      </c>
      <c r="E45" t="s">
        <v>106</v>
      </c>
      <c r="F45">
        <v>0.53900000000000003</v>
      </c>
      <c r="G45" t="s">
        <v>14</v>
      </c>
    </row>
    <row r="46" spans="1:7" x14ac:dyDescent="0.25">
      <c r="A46">
        <v>4</v>
      </c>
      <c r="B46" t="s">
        <v>118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118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118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118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118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118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118</v>
      </c>
      <c r="C52">
        <v>120</v>
      </c>
      <c r="D52" t="s">
        <v>109</v>
      </c>
      <c r="E52" t="s">
        <v>13</v>
      </c>
      <c r="F52">
        <v>0.878</v>
      </c>
      <c r="G52" t="s">
        <v>14</v>
      </c>
    </row>
    <row r="53" spans="1:7" x14ac:dyDescent="0.25">
      <c r="A53">
        <v>4</v>
      </c>
      <c r="B53" t="s">
        <v>118</v>
      </c>
      <c r="C53">
        <v>130</v>
      </c>
      <c r="D53" t="s">
        <v>119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120</v>
      </c>
      <c r="C54">
        <v>10</v>
      </c>
      <c r="D54" t="s">
        <v>266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120</v>
      </c>
      <c r="C55">
        <v>20</v>
      </c>
      <c r="D55" t="s">
        <v>108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120</v>
      </c>
      <c r="C56">
        <v>30</v>
      </c>
      <c r="D56" t="s">
        <v>111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120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120</v>
      </c>
      <c r="C58">
        <v>50</v>
      </c>
      <c r="D58" t="s">
        <v>105</v>
      </c>
      <c r="E58" t="s">
        <v>106</v>
      </c>
      <c r="F58">
        <v>0.57199999999999995</v>
      </c>
      <c r="G58" t="s">
        <v>14</v>
      </c>
    </row>
    <row r="59" spans="1:7" x14ac:dyDescent="0.25">
      <c r="A59">
        <v>5</v>
      </c>
      <c r="B59" t="s">
        <v>120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120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120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120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120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120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120</v>
      </c>
      <c r="C65">
        <v>120</v>
      </c>
      <c r="D65" t="s">
        <v>109</v>
      </c>
      <c r="E65" t="s">
        <v>13</v>
      </c>
      <c r="F65">
        <v>0.91900000000000004</v>
      </c>
      <c r="G65" t="s">
        <v>14</v>
      </c>
    </row>
    <row r="66" spans="1:7" x14ac:dyDescent="0.25">
      <c r="A66">
        <v>5</v>
      </c>
      <c r="B66" t="s">
        <v>120</v>
      </c>
      <c r="C66">
        <v>130</v>
      </c>
      <c r="D66" t="s">
        <v>121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122</v>
      </c>
      <c r="C67">
        <v>10</v>
      </c>
      <c r="D67" t="s">
        <v>267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122</v>
      </c>
      <c r="C68">
        <v>20</v>
      </c>
      <c r="D68" t="s">
        <v>108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122</v>
      </c>
      <c r="C69">
        <v>30</v>
      </c>
      <c r="D69" t="s">
        <v>111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122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122</v>
      </c>
      <c r="C71">
        <v>50</v>
      </c>
      <c r="D71" t="s">
        <v>105</v>
      </c>
      <c r="E71" t="s">
        <v>106</v>
      </c>
      <c r="F71">
        <v>0.60399999999999998</v>
      </c>
      <c r="G71" t="s">
        <v>14</v>
      </c>
    </row>
    <row r="72" spans="1:7" x14ac:dyDescent="0.25">
      <c r="A72">
        <v>6</v>
      </c>
      <c r="B72" t="s">
        <v>122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122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122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122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122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122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122</v>
      </c>
      <c r="C78">
        <v>120</v>
      </c>
      <c r="D78" t="s">
        <v>109</v>
      </c>
      <c r="E78" t="s">
        <v>13</v>
      </c>
      <c r="F78">
        <v>0.95899999999999996</v>
      </c>
      <c r="G78" t="s">
        <v>14</v>
      </c>
    </row>
    <row r="79" spans="1:7" x14ac:dyDescent="0.25">
      <c r="A79">
        <v>6</v>
      </c>
      <c r="B79" t="s">
        <v>122</v>
      </c>
      <c r="C79">
        <v>130</v>
      </c>
      <c r="D79" t="s">
        <v>123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124</v>
      </c>
      <c r="C80">
        <v>10</v>
      </c>
      <c r="D80" t="s">
        <v>268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124</v>
      </c>
      <c r="C81">
        <v>20</v>
      </c>
      <c r="D81" t="s">
        <v>108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124</v>
      </c>
      <c r="C82">
        <v>30</v>
      </c>
      <c r="D82" t="s">
        <v>111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124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124</v>
      </c>
      <c r="C84">
        <v>50</v>
      </c>
      <c r="D84" t="s">
        <v>105</v>
      </c>
      <c r="E84" t="s">
        <v>106</v>
      </c>
      <c r="F84">
        <v>0.66900000000000004</v>
      </c>
      <c r="G84" t="s">
        <v>14</v>
      </c>
    </row>
    <row r="85" spans="1:7" x14ac:dyDescent="0.25">
      <c r="A85">
        <v>7</v>
      </c>
      <c r="B85" t="s">
        <v>124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124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124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124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124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124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124</v>
      </c>
      <c r="C91">
        <v>120</v>
      </c>
      <c r="D91" t="s">
        <v>109</v>
      </c>
      <c r="E91" t="s">
        <v>13</v>
      </c>
      <c r="F91">
        <v>1.04</v>
      </c>
      <c r="G91" t="s">
        <v>14</v>
      </c>
    </row>
    <row r="92" spans="1:7" x14ac:dyDescent="0.25">
      <c r="A92">
        <v>7</v>
      </c>
      <c r="B92" t="s">
        <v>124</v>
      </c>
      <c r="C92">
        <v>130</v>
      </c>
      <c r="D92" t="s">
        <v>125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126</v>
      </c>
      <c r="C93">
        <v>10</v>
      </c>
      <c r="D93" t="s">
        <v>269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126</v>
      </c>
      <c r="C94">
        <v>20</v>
      </c>
      <c r="D94" t="s">
        <v>108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126</v>
      </c>
      <c r="C95">
        <v>30</v>
      </c>
      <c r="D95" t="s">
        <v>111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126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126</v>
      </c>
      <c r="C97">
        <v>50</v>
      </c>
      <c r="D97" t="s">
        <v>105</v>
      </c>
      <c r="E97" t="s">
        <v>106</v>
      </c>
      <c r="F97">
        <v>0.73299999999999998</v>
      </c>
      <c r="G97" t="s">
        <v>14</v>
      </c>
    </row>
    <row r="98" spans="1:7" x14ac:dyDescent="0.25">
      <c r="A98">
        <v>8</v>
      </c>
      <c r="B98" t="s">
        <v>126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126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126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126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126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126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126</v>
      </c>
      <c r="C104">
        <v>120</v>
      </c>
      <c r="D104" t="s">
        <v>109</v>
      </c>
      <c r="E104" t="s">
        <v>13</v>
      </c>
      <c r="F104">
        <v>1.121</v>
      </c>
      <c r="G104" t="s">
        <v>14</v>
      </c>
    </row>
    <row r="105" spans="1:7" x14ac:dyDescent="0.25">
      <c r="A105">
        <v>8</v>
      </c>
      <c r="B105" t="s">
        <v>126</v>
      </c>
      <c r="C105">
        <v>130</v>
      </c>
      <c r="D105" t="s">
        <v>127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128</v>
      </c>
      <c r="C106">
        <v>10</v>
      </c>
      <c r="D106" t="s">
        <v>270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128</v>
      </c>
      <c r="C107">
        <v>20</v>
      </c>
      <c r="D107" t="s">
        <v>108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128</v>
      </c>
      <c r="C108">
        <v>30</v>
      </c>
      <c r="D108" t="s">
        <v>111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128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128</v>
      </c>
      <c r="C110">
        <v>50</v>
      </c>
      <c r="D110" t="s">
        <v>105</v>
      </c>
      <c r="E110" t="s">
        <v>106</v>
      </c>
      <c r="F110">
        <v>0.36</v>
      </c>
      <c r="G110" t="s">
        <v>14</v>
      </c>
    </row>
    <row r="111" spans="1:7" x14ac:dyDescent="0.25">
      <c r="A111">
        <v>9</v>
      </c>
      <c r="B111" t="s">
        <v>128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128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128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128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128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128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128</v>
      </c>
      <c r="C117">
        <v>120</v>
      </c>
      <c r="D117" t="s">
        <v>109</v>
      </c>
      <c r="E117" t="s">
        <v>13</v>
      </c>
      <c r="F117">
        <v>1.2030000000000001</v>
      </c>
      <c r="G117" t="s">
        <v>14</v>
      </c>
    </row>
    <row r="118" spans="1:7" x14ac:dyDescent="0.25">
      <c r="A118">
        <v>9</v>
      </c>
      <c r="B118" t="s">
        <v>128</v>
      </c>
      <c r="C118">
        <v>130</v>
      </c>
      <c r="D118" t="s">
        <v>129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130</v>
      </c>
      <c r="C119">
        <v>10</v>
      </c>
      <c r="D119" t="s">
        <v>271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130</v>
      </c>
      <c r="C120">
        <v>20</v>
      </c>
      <c r="D120" t="s">
        <v>108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130</v>
      </c>
      <c r="C121">
        <v>30</v>
      </c>
      <c r="D121" t="s">
        <v>111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130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130</v>
      </c>
      <c r="C123">
        <v>50</v>
      </c>
      <c r="D123" t="s">
        <v>105</v>
      </c>
      <c r="E123" t="s">
        <v>106</v>
      </c>
      <c r="F123">
        <v>0.42699999999999999</v>
      </c>
      <c r="G123" t="s">
        <v>14</v>
      </c>
    </row>
    <row r="124" spans="1:7" x14ac:dyDescent="0.25">
      <c r="A124">
        <v>10</v>
      </c>
      <c r="B124" t="s">
        <v>130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130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130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130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130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130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130</v>
      </c>
      <c r="C130">
        <v>120</v>
      </c>
      <c r="D130" t="s">
        <v>109</v>
      </c>
      <c r="E130" t="s">
        <v>13</v>
      </c>
      <c r="F130">
        <v>1.2030000000000001</v>
      </c>
      <c r="G130" t="s">
        <v>14</v>
      </c>
    </row>
    <row r="131" spans="1:7" x14ac:dyDescent="0.25">
      <c r="A131">
        <v>10</v>
      </c>
      <c r="B131" t="s">
        <v>130</v>
      </c>
      <c r="C131">
        <v>130</v>
      </c>
      <c r="D131" t="s">
        <v>131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132</v>
      </c>
      <c r="C132">
        <v>10</v>
      </c>
      <c r="D132" t="s">
        <v>272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132</v>
      </c>
      <c r="C133">
        <v>20</v>
      </c>
      <c r="D133" t="s">
        <v>108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132</v>
      </c>
      <c r="C134">
        <v>30</v>
      </c>
      <c r="D134" t="s">
        <v>111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132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132</v>
      </c>
      <c r="C136">
        <v>50</v>
      </c>
      <c r="D136" t="s">
        <v>105</v>
      </c>
      <c r="E136" t="s">
        <v>106</v>
      </c>
      <c r="F136">
        <v>0.495</v>
      </c>
      <c r="G136" t="s">
        <v>14</v>
      </c>
    </row>
    <row r="137" spans="1:7" x14ac:dyDescent="0.25">
      <c r="A137">
        <v>11</v>
      </c>
      <c r="B137" t="s">
        <v>132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132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132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132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132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132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132</v>
      </c>
      <c r="C143">
        <v>120</v>
      </c>
      <c r="D143" t="s">
        <v>109</v>
      </c>
      <c r="E143" t="s">
        <v>13</v>
      </c>
      <c r="F143">
        <v>1.2030000000000001</v>
      </c>
      <c r="G143" t="s">
        <v>14</v>
      </c>
    </row>
    <row r="144" spans="1:7" x14ac:dyDescent="0.25">
      <c r="A144">
        <v>11</v>
      </c>
      <c r="B144" t="s">
        <v>132</v>
      </c>
      <c r="C144">
        <v>130</v>
      </c>
      <c r="D144" t="s">
        <v>133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134</v>
      </c>
      <c r="C145">
        <v>10</v>
      </c>
      <c r="D145" t="s">
        <v>273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134</v>
      </c>
      <c r="C146">
        <v>20</v>
      </c>
      <c r="D146" t="s">
        <v>108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134</v>
      </c>
      <c r="C147">
        <v>30</v>
      </c>
      <c r="D147" t="s">
        <v>111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134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134</v>
      </c>
      <c r="C149">
        <v>50</v>
      </c>
      <c r="D149" t="s">
        <v>105</v>
      </c>
      <c r="E149" t="s">
        <v>106</v>
      </c>
      <c r="F149">
        <v>0.56200000000000006</v>
      </c>
      <c r="G149" t="s">
        <v>14</v>
      </c>
    </row>
    <row r="150" spans="1:7" x14ac:dyDescent="0.25">
      <c r="A150">
        <v>12</v>
      </c>
      <c r="B150" t="s">
        <v>134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134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134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134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134</v>
      </c>
      <c r="C156">
        <v>120</v>
      </c>
      <c r="D156" t="s">
        <v>109</v>
      </c>
      <c r="E156" t="s">
        <v>13</v>
      </c>
      <c r="F156">
        <v>1.2030000000000001</v>
      </c>
      <c r="G156" t="s">
        <v>14</v>
      </c>
    </row>
    <row r="157" spans="1:7" x14ac:dyDescent="0.25">
      <c r="A157">
        <v>12</v>
      </c>
      <c r="B157" t="s">
        <v>134</v>
      </c>
      <c r="C157">
        <v>130</v>
      </c>
      <c r="D157" t="s">
        <v>135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136</v>
      </c>
      <c r="C158">
        <v>10</v>
      </c>
      <c r="D158" t="s">
        <v>274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136</v>
      </c>
      <c r="C159">
        <v>20</v>
      </c>
      <c r="D159" t="s">
        <v>108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136</v>
      </c>
      <c r="C160">
        <v>30</v>
      </c>
      <c r="D160" t="s">
        <v>111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136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136</v>
      </c>
      <c r="C162">
        <v>50</v>
      </c>
      <c r="D162" t="s">
        <v>105</v>
      </c>
      <c r="E162" t="s">
        <v>106</v>
      </c>
      <c r="F162">
        <v>0.59599999999999997</v>
      </c>
      <c r="G162" t="s">
        <v>14</v>
      </c>
    </row>
    <row r="163" spans="1:7" x14ac:dyDescent="0.25">
      <c r="A163">
        <v>13</v>
      </c>
      <c r="B163" t="s">
        <v>136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136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136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136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136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136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136</v>
      </c>
      <c r="C169">
        <v>120</v>
      </c>
      <c r="D169" t="s">
        <v>109</v>
      </c>
      <c r="E169" t="s">
        <v>13</v>
      </c>
      <c r="F169">
        <v>1.2030000000000001</v>
      </c>
      <c r="G169" t="s">
        <v>14</v>
      </c>
    </row>
    <row r="170" spans="1:7" x14ac:dyDescent="0.25">
      <c r="A170">
        <v>13</v>
      </c>
      <c r="B170" t="s">
        <v>136</v>
      </c>
      <c r="C170">
        <v>130</v>
      </c>
      <c r="D170" t="s">
        <v>137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138</v>
      </c>
      <c r="C171">
        <v>10</v>
      </c>
      <c r="D171" t="s">
        <v>275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138</v>
      </c>
      <c r="C172">
        <v>20</v>
      </c>
      <c r="D172" t="s">
        <v>108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138</v>
      </c>
      <c r="C173">
        <v>30</v>
      </c>
      <c r="D173" t="s">
        <v>111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138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138</v>
      </c>
      <c r="C175">
        <v>50</v>
      </c>
      <c r="D175" t="s">
        <v>105</v>
      </c>
      <c r="E175" t="s">
        <v>106</v>
      </c>
      <c r="F175">
        <v>0.629</v>
      </c>
      <c r="G175" t="s">
        <v>14</v>
      </c>
    </row>
    <row r="176" spans="1:7" x14ac:dyDescent="0.25">
      <c r="A176">
        <v>14</v>
      </c>
      <c r="B176" t="s">
        <v>138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138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138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138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138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138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138</v>
      </c>
      <c r="C182">
        <v>120</v>
      </c>
      <c r="D182" t="s">
        <v>109</v>
      </c>
      <c r="E182" t="s">
        <v>13</v>
      </c>
      <c r="F182">
        <v>1.2030000000000001</v>
      </c>
      <c r="G182" t="s">
        <v>14</v>
      </c>
    </row>
    <row r="183" spans="1:7" x14ac:dyDescent="0.25">
      <c r="A183">
        <v>14</v>
      </c>
      <c r="B183" t="s">
        <v>138</v>
      </c>
      <c r="C183">
        <v>130</v>
      </c>
      <c r="D183" t="s">
        <v>139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140</v>
      </c>
      <c r="C184">
        <v>10</v>
      </c>
      <c r="D184" t="s">
        <v>276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140</v>
      </c>
      <c r="C185">
        <v>20</v>
      </c>
      <c r="D185" t="s">
        <v>108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140</v>
      </c>
      <c r="C186">
        <v>30</v>
      </c>
      <c r="D186" t="s">
        <v>111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140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140</v>
      </c>
      <c r="C188">
        <v>50</v>
      </c>
      <c r="D188" t="s">
        <v>105</v>
      </c>
      <c r="E188" t="s">
        <v>106</v>
      </c>
      <c r="F188">
        <v>0.69699999999999995</v>
      </c>
      <c r="G188" t="s">
        <v>14</v>
      </c>
    </row>
    <row r="189" spans="1:7" x14ac:dyDescent="0.25">
      <c r="A189">
        <v>15</v>
      </c>
      <c r="B189" t="s">
        <v>140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140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140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140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140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140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140</v>
      </c>
      <c r="C195">
        <v>120</v>
      </c>
      <c r="D195" t="s">
        <v>109</v>
      </c>
      <c r="E195" t="s">
        <v>13</v>
      </c>
      <c r="F195">
        <v>1.2030000000000001</v>
      </c>
      <c r="G195" t="s">
        <v>14</v>
      </c>
    </row>
    <row r="196" spans="1:7" x14ac:dyDescent="0.25">
      <c r="A196">
        <v>15</v>
      </c>
      <c r="B196" t="s">
        <v>140</v>
      </c>
      <c r="C196">
        <v>130</v>
      </c>
      <c r="D196" t="s">
        <v>141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142</v>
      </c>
      <c r="C197">
        <v>10</v>
      </c>
      <c r="D197" t="s">
        <v>277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142</v>
      </c>
      <c r="C198">
        <v>20</v>
      </c>
      <c r="D198" t="s">
        <v>108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142</v>
      </c>
      <c r="C199">
        <v>30</v>
      </c>
      <c r="D199" t="s">
        <v>111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142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142</v>
      </c>
      <c r="C201">
        <v>50</v>
      </c>
      <c r="D201" t="s">
        <v>105</v>
      </c>
      <c r="E201" t="s">
        <v>106</v>
      </c>
      <c r="F201">
        <v>0.76400000000000001</v>
      </c>
      <c r="G201" t="s">
        <v>14</v>
      </c>
    </row>
    <row r="202" spans="1:7" x14ac:dyDescent="0.25">
      <c r="A202">
        <v>16</v>
      </c>
      <c r="B202" t="s">
        <v>142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142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142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142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142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142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142</v>
      </c>
      <c r="C208">
        <v>120</v>
      </c>
      <c r="D208" t="s">
        <v>109</v>
      </c>
      <c r="E208" t="s">
        <v>13</v>
      </c>
      <c r="F208">
        <v>1.2030000000000001</v>
      </c>
      <c r="G208" t="s">
        <v>14</v>
      </c>
    </row>
    <row r="209" spans="1:7" x14ac:dyDescent="0.25">
      <c r="A209">
        <v>16</v>
      </c>
      <c r="B209" t="s">
        <v>142</v>
      </c>
      <c r="C209">
        <v>130</v>
      </c>
      <c r="D209" t="s">
        <v>143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144</v>
      </c>
      <c r="C210">
        <v>10</v>
      </c>
      <c r="D210" t="s">
        <v>278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144</v>
      </c>
      <c r="C211">
        <v>20</v>
      </c>
      <c r="D211" t="s">
        <v>108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144</v>
      </c>
      <c r="C212">
        <v>30</v>
      </c>
      <c r="D212" t="s">
        <v>111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144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144</v>
      </c>
      <c r="C214">
        <v>50</v>
      </c>
      <c r="D214" t="s">
        <v>105</v>
      </c>
      <c r="E214" t="s">
        <v>106</v>
      </c>
      <c r="F214">
        <v>0.374</v>
      </c>
      <c r="G214" t="s">
        <v>14</v>
      </c>
    </row>
    <row r="215" spans="1:7" x14ac:dyDescent="0.25">
      <c r="A215">
        <v>17</v>
      </c>
      <c r="B215" t="s">
        <v>144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144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144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144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144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144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144</v>
      </c>
      <c r="C221">
        <v>120</v>
      </c>
      <c r="D221" t="s">
        <v>109</v>
      </c>
      <c r="E221" t="s">
        <v>13</v>
      </c>
      <c r="F221">
        <v>1.2430000000000001</v>
      </c>
      <c r="G221" t="s">
        <v>14</v>
      </c>
    </row>
    <row r="222" spans="1:7" x14ac:dyDescent="0.25">
      <c r="A222">
        <v>17</v>
      </c>
      <c r="B222" t="s">
        <v>144</v>
      </c>
      <c r="C222">
        <v>130</v>
      </c>
      <c r="D222" t="s">
        <v>145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146</v>
      </c>
      <c r="C223">
        <v>10</v>
      </c>
      <c r="D223" t="s">
        <v>279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146</v>
      </c>
      <c r="C224">
        <v>20</v>
      </c>
      <c r="D224" t="s">
        <v>108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146</v>
      </c>
      <c r="C225">
        <v>30</v>
      </c>
      <c r="D225" t="s">
        <v>111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146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146</v>
      </c>
      <c r="C227">
        <v>50</v>
      </c>
      <c r="D227" t="s">
        <v>105</v>
      </c>
      <c r="E227" t="s">
        <v>106</v>
      </c>
      <c r="F227">
        <v>0.44400000000000001</v>
      </c>
      <c r="G227" t="s">
        <v>14</v>
      </c>
    </row>
    <row r="228" spans="1:7" x14ac:dyDescent="0.25">
      <c r="A228">
        <v>18</v>
      </c>
      <c r="B228" t="s">
        <v>146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146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146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146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146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146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146</v>
      </c>
      <c r="C234">
        <v>120</v>
      </c>
      <c r="D234" t="s">
        <v>109</v>
      </c>
      <c r="E234" t="s">
        <v>13</v>
      </c>
      <c r="F234">
        <v>1.2430000000000001</v>
      </c>
      <c r="G234" t="s">
        <v>14</v>
      </c>
    </row>
    <row r="235" spans="1:7" x14ac:dyDescent="0.25">
      <c r="A235">
        <v>18</v>
      </c>
      <c r="B235" t="s">
        <v>146</v>
      </c>
      <c r="C235">
        <v>130</v>
      </c>
      <c r="D235" t="s">
        <v>147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148</v>
      </c>
      <c r="C236">
        <v>10</v>
      </c>
      <c r="D236" t="s">
        <v>280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148</v>
      </c>
      <c r="C237">
        <v>20</v>
      </c>
      <c r="D237" t="s">
        <v>108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148</v>
      </c>
      <c r="C238">
        <v>30</v>
      </c>
      <c r="D238" t="s">
        <v>111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148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148</v>
      </c>
      <c r="C240">
        <v>50</v>
      </c>
      <c r="D240" t="s">
        <v>105</v>
      </c>
      <c r="E240" t="s">
        <v>106</v>
      </c>
      <c r="F240">
        <v>0.51500000000000001</v>
      </c>
      <c r="G240" t="s">
        <v>14</v>
      </c>
    </row>
    <row r="241" spans="1:7" x14ac:dyDescent="0.25">
      <c r="A241">
        <v>19</v>
      </c>
      <c r="B241" t="s">
        <v>148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148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148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148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148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148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148</v>
      </c>
      <c r="C247">
        <v>120</v>
      </c>
      <c r="D247" t="s">
        <v>109</v>
      </c>
      <c r="E247" t="s">
        <v>13</v>
      </c>
      <c r="F247">
        <v>1.2430000000000001</v>
      </c>
      <c r="G247" t="s">
        <v>14</v>
      </c>
    </row>
    <row r="248" spans="1:7" x14ac:dyDescent="0.25">
      <c r="A248">
        <v>19</v>
      </c>
      <c r="B248" t="s">
        <v>148</v>
      </c>
      <c r="C248">
        <v>130</v>
      </c>
      <c r="D248" t="s">
        <v>149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150</v>
      </c>
      <c r="C249">
        <v>10</v>
      </c>
      <c r="D249" t="s">
        <v>281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150</v>
      </c>
      <c r="C250">
        <v>20</v>
      </c>
      <c r="D250" t="s">
        <v>108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150</v>
      </c>
      <c r="C251">
        <v>30</v>
      </c>
      <c r="D251" t="s">
        <v>111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150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150</v>
      </c>
      <c r="C253">
        <v>50</v>
      </c>
      <c r="D253" t="s">
        <v>105</v>
      </c>
      <c r="E253" t="s">
        <v>106</v>
      </c>
      <c r="F253">
        <v>0.58499999999999996</v>
      </c>
      <c r="G253" t="s">
        <v>14</v>
      </c>
    </row>
    <row r="254" spans="1:7" x14ac:dyDescent="0.25">
      <c r="A254">
        <v>20</v>
      </c>
      <c r="B254" t="s">
        <v>150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150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150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150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150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150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150</v>
      </c>
      <c r="C260">
        <v>120</v>
      </c>
      <c r="D260" t="s">
        <v>109</v>
      </c>
      <c r="E260" t="s">
        <v>13</v>
      </c>
      <c r="F260">
        <v>1.2430000000000001</v>
      </c>
      <c r="G260" t="s">
        <v>14</v>
      </c>
    </row>
    <row r="261" spans="1:7" x14ac:dyDescent="0.25">
      <c r="A261">
        <v>20</v>
      </c>
      <c r="B261" t="s">
        <v>150</v>
      </c>
      <c r="C261">
        <v>130</v>
      </c>
      <c r="D261" t="s">
        <v>151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152</v>
      </c>
      <c r="C262">
        <v>10</v>
      </c>
      <c r="D262" t="s">
        <v>282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152</v>
      </c>
      <c r="C263">
        <v>20</v>
      </c>
      <c r="D263" t="s">
        <v>108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152</v>
      </c>
      <c r="C264">
        <v>30</v>
      </c>
      <c r="D264" t="s">
        <v>111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152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152</v>
      </c>
      <c r="C266">
        <v>50</v>
      </c>
      <c r="D266" t="s">
        <v>105</v>
      </c>
      <c r="E266" t="s">
        <v>106</v>
      </c>
      <c r="F266">
        <v>0.62</v>
      </c>
      <c r="G266" t="s">
        <v>14</v>
      </c>
    </row>
    <row r="267" spans="1:7" x14ac:dyDescent="0.25">
      <c r="A267">
        <v>21</v>
      </c>
      <c r="B267" t="s">
        <v>152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152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152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152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152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152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152</v>
      </c>
      <c r="C273">
        <v>120</v>
      </c>
      <c r="D273" t="s">
        <v>109</v>
      </c>
      <c r="E273" t="s">
        <v>13</v>
      </c>
      <c r="F273">
        <v>1.2430000000000001</v>
      </c>
      <c r="G273" t="s">
        <v>14</v>
      </c>
    </row>
    <row r="274" spans="1:7" x14ac:dyDescent="0.25">
      <c r="A274">
        <v>21</v>
      </c>
      <c r="B274" t="s">
        <v>152</v>
      </c>
      <c r="C274">
        <v>130</v>
      </c>
      <c r="D274" t="s">
        <v>153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154</v>
      </c>
      <c r="C275">
        <v>10</v>
      </c>
      <c r="D275" t="s">
        <v>283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154</v>
      </c>
      <c r="C276">
        <v>20</v>
      </c>
      <c r="D276" t="s">
        <v>108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154</v>
      </c>
      <c r="C277">
        <v>30</v>
      </c>
      <c r="D277" t="s">
        <v>111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154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154</v>
      </c>
      <c r="C279">
        <v>50</v>
      </c>
      <c r="D279" t="s">
        <v>105</v>
      </c>
      <c r="E279" t="s">
        <v>106</v>
      </c>
      <c r="F279">
        <v>0.65500000000000003</v>
      </c>
      <c r="G279" t="s">
        <v>14</v>
      </c>
    </row>
    <row r="280" spans="1:7" x14ac:dyDescent="0.25">
      <c r="A280">
        <v>22</v>
      </c>
      <c r="B280" t="s">
        <v>154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154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154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154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154</v>
      </c>
      <c r="C286">
        <v>120</v>
      </c>
      <c r="D286" t="s">
        <v>109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22</v>
      </c>
      <c r="B287" t="s">
        <v>154</v>
      </c>
      <c r="C287">
        <v>130</v>
      </c>
      <c r="D287" t="s">
        <v>155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156</v>
      </c>
      <c r="C288">
        <v>10</v>
      </c>
      <c r="D288" t="s">
        <v>284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156</v>
      </c>
      <c r="C289">
        <v>20</v>
      </c>
      <c r="D289" t="s">
        <v>108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156</v>
      </c>
      <c r="C290">
        <v>30</v>
      </c>
      <c r="D290" t="s">
        <v>111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156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156</v>
      </c>
      <c r="C292">
        <v>50</v>
      </c>
      <c r="D292" t="s">
        <v>105</v>
      </c>
      <c r="E292" t="s">
        <v>106</v>
      </c>
      <c r="F292">
        <v>0.72499999999999998</v>
      </c>
      <c r="G292" t="s">
        <v>14</v>
      </c>
    </row>
    <row r="293" spans="1:7" x14ac:dyDescent="0.25">
      <c r="A293">
        <v>23</v>
      </c>
      <c r="B293" t="s">
        <v>156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156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156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156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156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156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156</v>
      </c>
      <c r="C299">
        <v>120</v>
      </c>
      <c r="D299" t="s">
        <v>109</v>
      </c>
      <c r="E299" t="s">
        <v>13</v>
      </c>
      <c r="F299">
        <v>1.2430000000000001</v>
      </c>
      <c r="G299" t="s">
        <v>14</v>
      </c>
    </row>
    <row r="300" spans="1:7" x14ac:dyDescent="0.25">
      <c r="A300">
        <v>23</v>
      </c>
      <c r="B300" t="s">
        <v>156</v>
      </c>
      <c r="C300">
        <v>130</v>
      </c>
      <c r="D300" t="s">
        <v>157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158</v>
      </c>
      <c r="C301">
        <v>10</v>
      </c>
      <c r="D301" t="s">
        <v>285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158</v>
      </c>
      <c r="C302">
        <v>20</v>
      </c>
      <c r="D302" t="s">
        <v>108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158</v>
      </c>
      <c r="C303">
        <v>30</v>
      </c>
      <c r="D303" t="s">
        <v>111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158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158</v>
      </c>
      <c r="C305">
        <v>50</v>
      </c>
      <c r="D305" t="s">
        <v>105</v>
      </c>
      <c r="E305" t="s">
        <v>106</v>
      </c>
      <c r="F305">
        <v>0.79500000000000004</v>
      </c>
      <c r="G305" t="s">
        <v>14</v>
      </c>
    </row>
    <row r="306" spans="1:7" x14ac:dyDescent="0.25">
      <c r="A306">
        <v>24</v>
      </c>
      <c r="B306" t="s">
        <v>158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158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158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158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158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158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158</v>
      </c>
      <c r="C312">
        <v>120</v>
      </c>
      <c r="D312" t="s">
        <v>109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24</v>
      </c>
      <c r="B313" t="s">
        <v>158</v>
      </c>
      <c r="C313">
        <v>130</v>
      </c>
      <c r="D313" t="s">
        <v>159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160</v>
      </c>
      <c r="C314">
        <v>10</v>
      </c>
      <c r="D314" t="s">
        <v>286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160</v>
      </c>
      <c r="C315">
        <v>20</v>
      </c>
      <c r="D315" t="s">
        <v>108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160</v>
      </c>
      <c r="C316">
        <v>30</v>
      </c>
      <c r="D316" t="s">
        <v>111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160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160</v>
      </c>
      <c r="C318">
        <v>50</v>
      </c>
      <c r="D318" t="s">
        <v>105</v>
      </c>
      <c r="E318" t="s">
        <v>106</v>
      </c>
      <c r="F318">
        <v>0.38400000000000001</v>
      </c>
      <c r="G318" t="s">
        <v>14</v>
      </c>
    </row>
    <row r="319" spans="1:7" x14ac:dyDescent="0.25">
      <c r="A319">
        <v>25</v>
      </c>
      <c r="B319" t="s">
        <v>160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160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160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160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160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160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160</v>
      </c>
      <c r="C325">
        <v>120</v>
      </c>
      <c r="D325" t="s">
        <v>109</v>
      </c>
      <c r="E325" t="s">
        <v>13</v>
      </c>
      <c r="F325">
        <v>1.27</v>
      </c>
      <c r="G325" t="s">
        <v>14</v>
      </c>
    </row>
    <row r="326" spans="1:7" x14ac:dyDescent="0.25">
      <c r="A326">
        <v>25</v>
      </c>
      <c r="B326" t="s">
        <v>160</v>
      </c>
      <c r="C326">
        <v>130</v>
      </c>
      <c r="D326" t="s">
        <v>161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162</v>
      </c>
      <c r="C327">
        <v>10</v>
      </c>
      <c r="D327" t="s">
        <v>287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162</v>
      </c>
      <c r="C328">
        <v>20</v>
      </c>
      <c r="D328" t="s">
        <v>108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162</v>
      </c>
      <c r="C329">
        <v>30</v>
      </c>
      <c r="D329" t="s">
        <v>111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162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162</v>
      </c>
      <c r="C331">
        <v>50</v>
      </c>
      <c r="D331" t="s">
        <v>105</v>
      </c>
      <c r="E331" t="s">
        <v>106</v>
      </c>
      <c r="F331">
        <v>0.45600000000000002</v>
      </c>
      <c r="G331" t="s">
        <v>14</v>
      </c>
    </row>
    <row r="332" spans="1:7" x14ac:dyDescent="0.25">
      <c r="A332">
        <v>26</v>
      </c>
      <c r="B332" t="s">
        <v>162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162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162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162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162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162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162</v>
      </c>
      <c r="C338">
        <v>120</v>
      </c>
      <c r="D338" t="s">
        <v>109</v>
      </c>
      <c r="E338" t="s">
        <v>13</v>
      </c>
      <c r="F338">
        <v>1.27</v>
      </c>
      <c r="G338" t="s">
        <v>14</v>
      </c>
    </row>
    <row r="339" spans="1:7" x14ac:dyDescent="0.25">
      <c r="A339">
        <v>26</v>
      </c>
      <c r="B339" t="s">
        <v>162</v>
      </c>
      <c r="C339">
        <v>130</v>
      </c>
      <c r="D339" t="s">
        <v>163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164</v>
      </c>
      <c r="C340">
        <v>10</v>
      </c>
      <c r="D340" t="s">
        <v>288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164</v>
      </c>
      <c r="C341">
        <v>20</v>
      </c>
      <c r="D341" t="s">
        <v>108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164</v>
      </c>
      <c r="C342">
        <v>30</v>
      </c>
      <c r="D342" t="s">
        <v>111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164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164</v>
      </c>
      <c r="C344">
        <v>50</v>
      </c>
      <c r="D344" t="s">
        <v>105</v>
      </c>
      <c r="E344" t="s">
        <v>106</v>
      </c>
      <c r="F344">
        <v>0.52800000000000002</v>
      </c>
      <c r="G344" t="s">
        <v>14</v>
      </c>
    </row>
    <row r="345" spans="1:7" x14ac:dyDescent="0.25">
      <c r="A345">
        <v>27</v>
      </c>
      <c r="B345" t="s">
        <v>164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164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164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164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164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164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164</v>
      </c>
      <c r="C351">
        <v>120</v>
      </c>
      <c r="D351" t="s">
        <v>109</v>
      </c>
      <c r="E351" t="s">
        <v>13</v>
      </c>
      <c r="F351">
        <v>1.27</v>
      </c>
      <c r="G351" t="s">
        <v>14</v>
      </c>
    </row>
    <row r="352" spans="1:7" x14ac:dyDescent="0.25">
      <c r="A352">
        <v>27</v>
      </c>
      <c r="B352" t="s">
        <v>164</v>
      </c>
      <c r="C352">
        <v>130</v>
      </c>
      <c r="D352" t="s">
        <v>165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166</v>
      </c>
      <c r="C353">
        <v>10</v>
      </c>
      <c r="D353" t="s">
        <v>289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166</v>
      </c>
      <c r="C354">
        <v>20</v>
      </c>
      <c r="D354" t="s">
        <v>108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166</v>
      </c>
      <c r="C355">
        <v>30</v>
      </c>
      <c r="D355" t="s">
        <v>111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166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166</v>
      </c>
      <c r="C357">
        <v>50</v>
      </c>
      <c r="D357" t="s">
        <v>105</v>
      </c>
      <c r="E357" t="s">
        <v>106</v>
      </c>
      <c r="F357">
        <v>0.6</v>
      </c>
      <c r="G357" t="s">
        <v>14</v>
      </c>
    </row>
    <row r="358" spans="1:7" x14ac:dyDescent="0.25">
      <c r="A358">
        <v>28</v>
      </c>
      <c r="B358" t="s">
        <v>166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166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166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166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166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166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166</v>
      </c>
      <c r="C364">
        <v>120</v>
      </c>
      <c r="D364" t="s">
        <v>109</v>
      </c>
      <c r="E364" t="s">
        <v>13</v>
      </c>
      <c r="F364">
        <v>1.27</v>
      </c>
      <c r="G364" t="s">
        <v>14</v>
      </c>
    </row>
    <row r="365" spans="1:7" x14ac:dyDescent="0.25">
      <c r="A365">
        <v>28</v>
      </c>
      <c r="B365" t="s">
        <v>166</v>
      </c>
      <c r="C365">
        <v>130</v>
      </c>
      <c r="D365" t="s">
        <v>167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168</v>
      </c>
      <c r="C366">
        <v>10</v>
      </c>
      <c r="D366" t="s">
        <v>290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168</v>
      </c>
      <c r="C367">
        <v>20</v>
      </c>
      <c r="D367" t="s">
        <v>108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168</v>
      </c>
      <c r="C368">
        <v>30</v>
      </c>
      <c r="D368" t="s">
        <v>111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168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168</v>
      </c>
      <c r="C370">
        <v>50</v>
      </c>
      <c r="D370" t="s">
        <v>105</v>
      </c>
      <c r="E370" t="s">
        <v>106</v>
      </c>
      <c r="F370">
        <v>0.63600000000000001</v>
      </c>
      <c r="G370" t="s">
        <v>14</v>
      </c>
    </row>
    <row r="371" spans="1:7" x14ac:dyDescent="0.25">
      <c r="A371">
        <v>29</v>
      </c>
      <c r="B371" t="s">
        <v>168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168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168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168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168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168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168</v>
      </c>
      <c r="C377">
        <v>120</v>
      </c>
      <c r="D377" t="s">
        <v>109</v>
      </c>
      <c r="E377" t="s">
        <v>13</v>
      </c>
      <c r="F377">
        <v>1.27</v>
      </c>
      <c r="G377" t="s">
        <v>14</v>
      </c>
    </row>
    <row r="378" spans="1:7" x14ac:dyDescent="0.25">
      <c r="A378">
        <v>29</v>
      </c>
      <c r="B378" t="s">
        <v>168</v>
      </c>
      <c r="C378">
        <v>130</v>
      </c>
      <c r="D378" t="s">
        <v>169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170</v>
      </c>
      <c r="C379">
        <v>10</v>
      </c>
      <c r="D379" t="s">
        <v>291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170</v>
      </c>
      <c r="C380">
        <v>20</v>
      </c>
      <c r="D380" t="s">
        <v>108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170</v>
      </c>
      <c r="C381">
        <v>30</v>
      </c>
      <c r="D381" t="s">
        <v>111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170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170</v>
      </c>
      <c r="C383">
        <v>50</v>
      </c>
      <c r="D383" t="s">
        <v>105</v>
      </c>
      <c r="E383" t="s">
        <v>106</v>
      </c>
      <c r="F383">
        <v>0.67200000000000004</v>
      </c>
      <c r="G383" t="s">
        <v>14</v>
      </c>
    </row>
    <row r="384" spans="1:7" x14ac:dyDescent="0.25">
      <c r="A384">
        <v>30</v>
      </c>
      <c r="B384" t="s">
        <v>170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170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170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170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170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170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170</v>
      </c>
      <c r="C390">
        <v>120</v>
      </c>
      <c r="D390" t="s">
        <v>109</v>
      </c>
      <c r="E390" t="s">
        <v>13</v>
      </c>
      <c r="F390">
        <v>1.27</v>
      </c>
      <c r="G390" t="s">
        <v>14</v>
      </c>
    </row>
    <row r="391" spans="1:7" x14ac:dyDescent="0.25">
      <c r="A391">
        <v>30</v>
      </c>
      <c r="B391" t="s">
        <v>170</v>
      </c>
      <c r="C391">
        <v>130</v>
      </c>
      <c r="D391" t="s">
        <v>171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172</v>
      </c>
      <c r="C392">
        <v>10</v>
      </c>
      <c r="D392" t="s">
        <v>292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172</v>
      </c>
      <c r="C393">
        <v>20</v>
      </c>
      <c r="D393" t="s">
        <v>108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172</v>
      </c>
      <c r="C394">
        <v>30</v>
      </c>
      <c r="D394" t="s">
        <v>111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172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172</v>
      </c>
      <c r="C396">
        <v>50</v>
      </c>
      <c r="D396" t="s">
        <v>105</v>
      </c>
      <c r="E396" t="s">
        <v>106</v>
      </c>
      <c r="F396">
        <v>0.74399999999999999</v>
      </c>
      <c r="G396" t="s">
        <v>14</v>
      </c>
    </row>
    <row r="397" spans="1:7" x14ac:dyDescent="0.25">
      <c r="A397">
        <v>31</v>
      </c>
      <c r="B397" t="s">
        <v>172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172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172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172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172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172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172</v>
      </c>
      <c r="C403">
        <v>120</v>
      </c>
      <c r="D403" t="s">
        <v>109</v>
      </c>
      <c r="E403" t="s">
        <v>13</v>
      </c>
      <c r="F403">
        <v>1.27</v>
      </c>
      <c r="G403" t="s">
        <v>14</v>
      </c>
    </row>
    <row r="404" spans="1:7" x14ac:dyDescent="0.25">
      <c r="A404">
        <v>31</v>
      </c>
      <c r="B404" t="s">
        <v>172</v>
      </c>
      <c r="C404">
        <v>130</v>
      </c>
      <c r="D404" t="s">
        <v>173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174</v>
      </c>
      <c r="C405">
        <v>10</v>
      </c>
      <c r="D405" t="s">
        <v>293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174</v>
      </c>
      <c r="C406">
        <v>20</v>
      </c>
      <c r="D406" t="s">
        <v>108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174</v>
      </c>
      <c r="C407">
        <v>30</v>
      </c>
      <c r="D407" t="s">
        <v>111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174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174</v>
      </c>
      <c r="C409">
        <v>50</v>
      </c>
      <c r="D409" t="s">
        <v>105</v>
      </c>
      <c r="E409" t="s">
        <v>106</v>
      </c>
      <c r="F409">
        <v>0.81599999999999995</v>
      </c>
      <c r="G409" t="s">
        <v>14</v>
      </c>
    </row>
    <row r="410" spans="1:7" x14ac:dyDescent="0.25">
      <c r="A410">
        <v>32</v>
      </c>
      <c r="B410" t="s">
        <v>174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174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174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174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174</v>
      </c>
      <c r="C416">
        <v>120</v>
      </c>
      <c r="D416" t="s">
        <v>109</v>
      </c>
      <c r="E416" t="s">
        <v>13</v>
      </c>
      <c r="F416">
        <v>1.27</v>
      </c>
      <c r="G416" t="s">
        <v>14</v>
      </c>
    </row>
    <row r="417" spans="1:7" x14ac:dyDescent="0.25">
      <c r="A417">
        <v>32</v>
      </c>
      <c r="B417" t="s">
        <v>174</v>
      </c>
      <c r="C417">
        <v>130</v>
      </c>
      <c r="D417" t="s">
        <v>175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176</v>
      </c>
      <c r="C418">
        <v>10</v>
      </c>
      <c r="D418" t="s">
        <v>294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176</v>
      </c>
      <c r="C419">
        <v>20</v>
      </c>
      <c r="D419" t="s">
        <v>108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176</v>
      </c>
      <c r="C420">
        <v>30</v>
      </c>
      <c r="D420" t="s">
        <v>111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176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176</v>
      </c>
      <c r="C422">
        <v>50</v>
      </c>
      <c r="D422" t="s">
        <v>105</v>
      </c>
      <c r="E422" t="s">
        <v>106</v>
      </c>
      <c r="F422">
        <v>0.40300000000000002</v>
      </c>
      <c r="G422" t="s">
        <v>14</v>
      </c>
    </row>
    <row r="423" spans="1:7" x14ac:dyDescent="0.25">
      <c r="A423">
        <v>33</v>
      </c>
      <c r="B423" t="s">
        <v>176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176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176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176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176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176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176</v>
      </c>
      <c r="C429">
        <v>120</v>
      </c>
      <c r="D429" t="s">
        <v>109</v>
      </c>
      <c r="E429" t="s">
        <v>13</v>
      </c>
      <c r="F429">
        <v>1.3240000000000001</v>
      </c>
      <c r="G429" t="s">
        <v>14</v>
      </c>
    </row>
    <row r="430" spans="1:7" x14ac:dyDescent="0.25">
      <c r="A430">
        <v>33</v>
      </c>
      <c r="B430" t="s">
        <v>176</v>
      </c>
      <c r="C430">
        <v>130</v>
      </c>
      <c r="D430" t="s">
        <v>177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178</v>
      </c>
      <c r="C431">
        <v>10</v>
      </c>
      <c r="D431" t="s">
        <v>295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178</v>
      </c>
      <c r="C432">
        <v>20</v>
      </c>
      <c r="D432" t="s">
        <v>108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178</v>
      </c>
      <c r="C433">
        <v>30</v>
      </c>
      <c r="D433" t="s">
        <v>111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178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178</v>
      </c>
      <c r="C435">
        <v>50</v>
      </c>
      <c r="D435" t="s">
        <v>105</v>
      </c>
      <c r="E435" t="s">
        <v>106</v>
      </c>
      <c r="F435">
        <v>0.47899999999999998</v>
      </c>
      <c r="G435" t="s">
        <v>14</v>
      </c>
    </row>
    <row r="436" spans="1:7" x14ac:dyDescent="0.25">
      <c r="A436">
        <v>34</v>
      </c>
      <c r="B436" t="s">
        <v>178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178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178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178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178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178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178</v>
      </c>
      <c r="C442">
        <v>120</v>
      </c>
      <c r="D442" t="s">
        <v>109</v>
      </c>
      <c r="E442" t="s">
        <v>13</v>
      </c>
      <c r="F442">
        <v>1.3240000000000001</v>
      </c>
      <c r="G442" t="s">
        <v>14</v>
      </c>
    </row>
    <row r="443" spans="1:7" x14ac:dyDescent="0.25">
      <c r="A443">
        <v>34</v>
      </c>
      <c r="B443" t="s">
        <v>178</v>
      </c>
      <c r="C443">
        <v>130</v>
      </c>
      <c r="D443" t="s">
        <v>179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180</v>
      </c>
      <c r="C444">
        <v>10</v>
      </c>
      <c r="D444" t="s">
        <v>296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180</v>
      </c>
      <c r="C445">
        <v>20</v>
      </c>
      <c r="D445" t="s">
        <v>108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180</v>
      </c>
      <c r="C446">
        <v>30</v>
      </c>
      <c r="D446" t="s">
        <v>111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180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180</v>
      </c>
      <c r="C448">
        <v>50</v>
      </c>
      <c r="D448" t="s">
        <v>105</v>
      </c>
      <c r="E448" t="s">
        <v>106</v>
      </c>
      <c r="F448">
        <v>0.55500000000000005</v>
      </c>
      <c r="G448" t="s">
        <v>14</v>
      </c>
    </row>
    <row r="449" spans="1:7" x14ac:dyDescent="0.25">
      <c r="A449">
        <v>35</v>
      </c>
      <c r="B449" t="s">
        <v>180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180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180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180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180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180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180</v>
      </c>
      <c r="C455">
        <v>120</v>
      </c>
      <c r="D455" t="s">
        <v>109</v>
      </c>
      <c r="E455" t="s">
        <v>13</v>
      </c>
      <c r="F455">
        <v>1.3240000000000001</v>
      </c>
      <c r="G455" t="s">
        <v>14</v>
      </c>
    </row>
    <row r="456" spans="1:7" x14ac:dyDescent="0.25">
      <c r="A456">
        <v>35</v>
      </c>
      <c r="B456" t="s">
        <v>180</v>
      </c>
      <c r="C456">
        <v>130</v>
      </c>
      <c r="D456" t="s">
        <v>181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182</v>
      </c>
      <c r="C457">
        <v>10</v>
      </c>
      <c r="D457" t="s">
        <v>297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182</v>
      </c>
      <c r="C458">
        <v>20</v>
      </c>
      <c r="D458" t="s">
        <v>108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182</v>
      </c>
      <c r="C459">
        <v>30</v>
      </c>
      <c r="D459" t="s">
        <v>111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182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182</v>
      </c>
      <c r="C461">
        <v>50</v>
      </c>
      <c r="D461" t="s">
        <v>105</v>
      </c>
      <c r="E461" t="s">
        <v>106</v>
      </c>
      <c r="F461">
        <v>0.63</v>
      </c>
      <c r="G461" t="s">
        <v>14</v>
      </c>
    </row>
    <row r="462" spans="1:7" x14ac:dyDescent="0.25">
      <c r="A462">
        <v>36</v>
      </c>
      <c r="B462" t="s">
        <v>182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182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182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182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182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182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182</v>
      </c>
      <c r="C468">
        <v>120</v>
      </c>
      <c r="D468" t="s">
        <v>109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36</v>
      </c>
      <c r="B469" t="s">
        <v>182</v>
      </c>
      <c r="C469">
        <v>130</v>
      </c>
      <c r="D469" t="s">
        <v>183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184</v>
      </c>
      <c r="C470">
        <v>10</v>
      </c>
      <c r="D470" t="s">
        <v>298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184</v>
      </c>
      <c r="C471">
        <v>20</v>
      </c>
      <c r="D471" t="s">
        <v>108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184</v>
      </c>
      <c r="C472">
        <v>30</v>
      </c>
      <c r="D472" t="s">
        <v>111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184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184</v>
      </c>
      <c r="C474">
        <v>50</v>
      </c>
      <c r="D474" t="s">
        <v>105</v>
      </c>
      <c r="E474" t="s">
        <v>106</v>
      </c>
      <c r="F474">
        <v>0.66800000000000004</v>
      </c>
      <c r="G474" t="s">
        <v>14</v>
      </c>
    </row>
    <row r="475" spans="1:7" x14ac:dyDescent="0.25">
      <c r="A475">
        <v>37</v>
      </c>
      <c r="B475" t="s">
        <v>184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184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184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184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184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184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184</v>
      </c>
      <c r="C481">
        <v>120</v>
      </c>
      <c r="D481" t="s">
        <v>109</v>
      </c>
      <c r="E481" t="s">
        <v>13</v>
      </c>
      <c r="F481">
        <v>1.3240000000000001</v>
      </c>
      <c r="G481" t="s">
        <v>14</v>
      </c>
    </row>
    <row r="482" spans="1:7" x14ac:dyDescent="0.25">
      <c r="A482">
        <v>37</v>
      </c>
      <c r="B482" t="s">
        <v>184</v>
      </c>
      <c r="C482">
        <v>130</v>
      </c>
      <c r="D482" t="s">
        <v>185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186</v>
      </c>
      <c r="C483">
        <v>10</v>
      </c>
      <c r="D483" t="s">
        <v>299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186</v>
      </c>
      <c r="C484">
        <v>20</v>
      </c>
      <c r="D484" t="s">
        <v>108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186</v>
      </c>
      <c r="C485">
        <v>30</v>
      </c>
      <c r="D485" t="s">
        <v>111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186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186</v>
      </c>
      <c r="C487">
        <v>50</v>
      </c>
      <c r="D487" t="s">
        <v>105</v>
      </c>
      <c r="E487" t="s">
        <v>106</v>
      </c>
      <c r="F487">
        <v>0.70599999999999996</v>
      </c>
      <c r="G487" t="s">
        <v>14</v>
      </c>
    </row>
    <row r="488" spans="1:7" x14ac:dyDescent="0.25">
      <c r="A488">
        <v>38</v>
      </c>
      <c r="B488" t="s">
        <v>186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186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186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186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186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186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186</v>
      </c>
      <c r="C494">
        <v>120</v>
      </c>
      <c r="D494" t="s">
        <v>109</v>
      </c>
      <c r="E494" t="s">
        <v>13</v>
      </c>
      <c r="F494">
        <v>1.3240000000000001</v>
      </c>
      <c r="G494" t="s">
        <v>14</v>
      </c>
    </row>
    <row r="495" spans="1:7" x14ac:dyDescent="0.25">
      <c r="A495">
        <v>38</v>
      </c>
      <c r="B495" t="s">
        <v>186</v>
      </c>
      <c r="C495">
        <v>130</v>
      </c>
      <c r="D495" t="s">
        <v>187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188</v>
      </c>
      <c r="C496">
        <v>10</v>
      </c>
      <c r="D496" t="s">
        <v>300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188</v>
      </c>
      <c r="C497">
        <v>20</v>
      </c>
      <c r="D497" t="s">
        <v>108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188</v>
      </c>
      <c r="C498">
        <v>30</v>
      </c>
      <c r="D498" t="s">
        <v>111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188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188</v>
      </c>
      <c r="C500">
        <v>50</v>
      </c>
      <c r="D500" t="s">
        <v>105</v>
      </c>
      <c r="E500" t="s">
        <v>106</v>
      </c>
      <c r="F500">
        <v>0.78200000000000003</v>
      </c>
      <c r="G500" t="s">
        <v>14</v>
      </c>
    </row>
    <row r="501" spans="1:7" x14ac:dyDescent="0.25">
      <c r="A501">
        <v>39</v>
      </c>
      <c r="B501" t="s">
        <v>188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188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188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188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188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188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188</v>
      </c>
      <c r="C507">
        <v>120</v>
      </c>
      <c r="D507" t="s">
        <v>109</v>
      </c>
      <c r="E507" t="s">
        <v>13</v>
      </c>
      <c r="F507">
        <v>1.3240000000000001</v>
      </c>
      <c r="G507" t="s">
        <v>14</v>
      </c>
    </row>
    <row r="508" spans="1:7" x14ac:dyDescent="0.25">
      <c r="A508">
        <v>39</v>
      </c>
      <c r="B508" t="s">
        <v>188</v>
      </c>
      <c r="C508">
        <v>130</v>
      </c>
      <c r="D508" t="s">
        <v>189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190</v>
      </c>
      <c r="C509">
        <v>10</v>
      </c>
      <c r="D509" t="s">
        <v>301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190</v>
      </c>
      <c r="C510">
        <v>20</v>
      </c>
      <c r="D510" t="s">
        <v>108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190</v>
      </c>
      <c r="C511">
        <v>30</v>
      </c>
      <c r="D511" t="s">
        <v>111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190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190</v>
      </c>
      <c r="C513">
        <v>50</v>
      </c>
      <c r="D513" t="s">
        <v>105</v>
      </c>
      <c r="E513" t="s">
        <v>106</v>
      </c>
      <c r="F513">
        <v>0.85699999999999998</v>
      </c>
      <c r="G513" t="s">
        <v>14</v>
      </c>
    </row>
    <row r="514" spans="1:7" x14ac:dyDescent="0.25">
      <c r="A514">
        <v>40</v>
      </c>
      <c r="B514" t="s">
        <v>190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190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190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190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190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190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190</v>
      </c>
      <c r="C520">
        <v>120</v>
      </c>
      <c r="D520" t="s">
        <v>109</v>
      </c>
      <c r="E520" t="s">
        <v>13</v>
      </c>
      <c r="F520">
        <v>1.3240000000000001</v>
      </c>
      <c r="G520" t="s">
        <v>14</v>
      </c>
    </row>
    <row r="521" spans="1:7" x14ac:dyDescent="0.25">
      <c r="A521">
        <v>40</v>
      </c>
      <c r="B521" t="s">
        <v>190</v>
      </c>
      <c r="C521">
        <v>130</v>
      </c>
      <c r="D521" t="s">
        <v>191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302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108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111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192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105</v>
      </c>
      <c r="E526" t="s">
        <v>106</v>
      </c>
      <c r="F526">
        <v>0.313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109</v>
      </c>
      <c r="E533" t="s">
        <v>13</v>
      </c>
      <c r="F533">
        <v>0.59499999999999997</v>
      </c>
      <c r="G533" t="s">
        <v>14</v>
      </c>
    </row>
    <row r="534" spans="1:7" x14ac:dyDescent="0.25">
      <c r="A534">
        <v>41</v>
      </c>
      <c r="B534" t="s">
        <v>192</v>
      </c>
      <c r="C534">
        <v>130</v>
      </c>
      <c r="D534" t="s">
        <v>193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303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108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111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194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105</v>
      </c>
      <c r="E539" t="s">
        <v>106</v>
      </c>
      <c r="F539">
        <v>0.377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109</v>
      </c>
      <c r="E546" t="s">
        <v>13</v>
      </c>
      <c r="F546">
        <v>0.67600000000000005</v>
      </c>
      <c r="G546" t="s">
        <v>14</v>
      </c>
    </row>
    <row r="547" spans="1:7" x14ac:dyDescent="0.25">
      <c r="A547">
        <v>42</v>
      </c>
      <c r="B547" t="s">
        <v>194</v>
      </c>
      <c r="C547">
        <v>130</v>
      </c>
      <c r="D547" t="s">
        <v>195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304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108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111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196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105</v>
      </c>
      <c r="E552" t="s">
        <v>106</v>
      </c>
      <c r="F552">
        <v>0.442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109</v>
      </c>
      <c r="E559" t="s">
        <v>13</v>
      </c>
      <c r="F559">
        <v>0.75700000000000001</v>
      </c>
      <c r="G559" t="s">
        <v>14</v>
      </c>
    </row>
    <row r="560" spans="1:7" x14ac:dyDescent="0.25">
      <c r="A560">
        <v>43</v>
      </c>
      <c r="B560" t="s">
        <v>196</v>
      </c>
      <c r="C560">
        <v>130</v>
      </c>
      <c r="D560" t="s">
        <v>197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305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108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111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198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105</v>
      </c>
      <c r="E565" t="s">
        <v>106</v>
      </c>
      <c r="F565">
        <v>0.50700000000000001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109</v>
      </c>
      <c r="E572" t="s">
        <v>13</v>
      </c>
      <c r="F572">
        <v>0.83799999999999997</v>
      </c>
      <c r="G572" t="s">
        <v>14</v>
      </c>
    </row>
    <row r="573" spans="1:7" x14ac:dyDescent="0.25">
      <c r="A573">
        <v>44</v>
      </c>
      <c r="B573" t="s">
        <v>198</v>
      </c>
      <c r="C573">
        <v>130</v>
      </c>
      <c r="D573" t="s">
        <v>199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306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108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111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200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105</v>
      </c>
      <c r="E578" t="s">
        <v>106</v>
      </c>
      <c r="F578">
        <v>0.63600000000000001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109</v>
      </c>
      <c r="E585" t="s">
        <v>13</v>
      </c>
      <c r="F585">
        <v>1</v>
      </c>
      <c r="G585" t="s">
        <v>14</v>
      </c>
    </row>
    <row r="586" spans="1:7" x14ac:dyDescent="0.25">
      <c r="A586">
        <v>45</v>
      </c>
      <c r="B586" t="s">
        <v>200</v>
      </c>
      <c r="C586">
        <v>130</v>
      </c>
      <c r="D586" t="s">
        <v>201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307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108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111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202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105</v>
      </c>
      <c r="E591" t="s">
        <v>106</v>
      </c>
      <c r="F591">
        <v>0.70099999999999996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109</v>
      </c>
      <c r="E598" t="s">
        <v>13</v>
      </c>
      <c r="F598">
        <v>1.081</v>
      </c>
      <c r="G598" t="s">
        <v>14</v>
      </c>
    </row>
    <row r="599" spans="1:7" x14ac:dyDescent="0.25">
      <c r="A599">
        <v>46</v>
      </c>
      <c r="B599" t="s">
        <v>202</v>
      </c>
      <c r="C599">
        <v>130</v>
      </c>
      <c r="D599" t="s">
        <v>203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308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108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111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204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105</v>
      </c>
      <c r="E604" t="s">
        <v>106</v>
      </c>
      <c r="F604">
        <v>0.76600000000000001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109</v>
      </c>
      <c r="E611" t="s">
        <v>13</v>
      </c>
      <c r="F611">
        <v>1.1619999999999999</v>
      </c>
      <c r="G611" t="s">
        <v>14</v>
      </c>
    </row>
    <row r="612" spans="1:7" x14ac:dyDescent="0.25">
      <c r="A612">
        <v>47</v>
      </c>
      <c r="B612" t="s">
        <v>204</v>
      </c>
      <c r="C612">
        <v>130</v>
      </c>
      <c r="D612" t="s">
        <v>205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309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108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111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206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105</v>
      </c>
      <c r="E617" t="s">
        <v>106</v>
      </c>
      <c r="F617">
        <v>0.32600000000000001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109</v>
      </c>
      <c r="E624" t="s">
        <v>13</v>
      </c>
      <c r="F624">
        <v>1.2030000000000001</v>
      </c>
      <c r="G624" t="s">
        <v>14</v>
      </c>
    </row>
    <row r="625" spans="1:7" x14ac:dyDescent="0.25">
      <c r="A625">
        <v>48</v>
      </c>
      <c r="B625" t="s">
        <v>206</v>
      </c>
      <c r="C625">
        <v>130</v>
      </c>
      <c r="D625" t="s">
        <v>207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310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108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111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208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105</v>
      </c>
      <c r="E630" t="s">
        <v>106</v>
      </c>
      <c r="F630">
        <v>0.39300000000000002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109</v>
      </c>
      <c r="E637" t="s">
        <v>13</v>
      </c>
      <c r="F637">
        <v>1.2030000000000001</v>
      </c>
      <c r="G637" t="s">
        <v>14</v>
      </c>
    </row>
    <row r="638" spans="1:7" x14ac:dyDescent="0.25">
      <c r="A638">
        <v>49</v>
      </c>
      <c r="B638" t="s">
        <v>208</v>
      </c>
      <c r="C638">
        <v>130</v>
      </c>
      <c r="D638" t="s">
        <v>209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311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108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111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210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105</v>
      </c>
      <c r="E643" t="s">
        <v>106</v>
      </c>
      <c r="F643">
        <v>0.46100000000000002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109</v>
      </c>
      <c r="E650" t="s">
        <v>13</v>
      </c>
      <c r="F650">
        <v>1.2030000000000001</v>
      </c>
      <c r="G650" t="s">
        <v>14</v>
      </c>
    </row>
    <row r="651" spans="1:7" x14ac:dyDescent="0.25">
      <c r="A651">
        <v>50</v>
      </c>
      <c r="B651" t="s">
        <v>210</v>
      </c>
      <c r="C651">
        <v>130</v>
      </c>
      <c r="D651" t="s">
        <v>211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312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108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111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212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105</v>
      </c>
      <c r="E656" t="s">
        <v>106</v>
      </c>
      <c r="F656">
        <v>0.52800000000000002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109</v>
      </c>
      <c r="E663" t="s">
        <v>13</v>
      </c>
      <c r="F663">
        <v>1.2030000000000001</v>
      </c>
      <c r="G663" t="s">
        <v>14</v>
      </c>
    </row>
    <row r="664" spans="1:7" x14ac:dyDescent="0.25">
      <c r="A664">
        <v>51</v>
      </c>
      <c r="B664" t="s">
        <v>212</v>
      </c>
      <c r="C664">
        <v>130</v>
      </c>
      <c r="D664" t="s">
        <v>213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313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108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111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214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105</v>
      </c>
      <c r="E669" t="s">
        <v>106</v>
      </c>
      <c r="F669">
        <v>0.66300000000000003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109</v>
      </c>
      <c r="E676" t="s">
        <v>13</v>
      </c>
      <c r="F676">
        <v>1.2030000000000001</v>
      </c>
      <c r="G676" t="s">
        <v>14</v>
      </c>
    </row>
    <row r="677" spans="1:7" x14ac:dyDescent="0.25">
      <c r="A677">
        <v>52</v>
      </c>
      <c r="B677" t="s">
        <v>214</v>
      </c>
      <c r="C677">
        <v>130</v>
      </c>
      <c r="D677" t="s">
        <v>215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314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108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111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216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105</v>
      </c>
      <c r="E682" t="s">
        <v>106</v>
      </c>
      <c r="F682">
        <v>0.73099999999999998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109</v>
      </c>
      <c r="E689" t="s">
        <v>13</v>
      </c>
      <c r="F689">
        <v>1.2030000000000001</v>
      </c>
      <c r="G689" t="s">
        <v>14</v>
      </c>
    </row>
    <row r="690" spans="1:7" x14ac:dyDescent="0.25">
      <c r="A690">
        <v>53</v>
      </c>
      <c r="B690" t="s">
        <v>216</v>
      </c>
      <c r="C690">
        <v>130</v>
      </c>
      <c r="D690" t="s">
        <v>217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315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108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111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218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105</v>
      </c>
      <c r="E695" t="s">
        <v>106</v>
      </c>
      <c r="F695">
        <v>0.79800000000000004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109</v>
      </c>
      <c r="E702" t="s">
        <v>13</v>
      </c>
      <c r="F702">
        <v>1.2030000000000001</v>
      </c>
      <c r="G702" t="s">
        <v>14</v>
      </c>
    </row>
    <row r="703" spans="1:7" x14ac:dyDescent="0.25">
      <c r="A703">
        <v>54</v>
      </c>
      <c r="B703" t="s">
        <v>218</v>
      </c>
      <c r="C703">
        <v>130</v>
      </c>
      <c r="D703" t="s">
        <v>219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316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108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111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220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105</v>
      </c>
      <c r="E708" t="s">
        <v>106</v>
      </c>
      <c r="F708">
        <v>0.33900000000000002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109</v>
      </c>
      <c r="E715" t="s">
        <v>13</v>
      </c>
      <c r="F715">
        <v>1.2430000000000001</v>
      </c>
      <c r="G715" t="s">
        <v>14</v>
      </c>
    </row>
    <row r="716" spans="1:7" x14ac:dyDescent="0.25">
      <c r="A716">
        <v>55</v>
      </c>
      <c r="B716" t="s">
        <v>220</v>
      </c>
      <c r="C716">
        <v>130</v>
      </c>
      <c r="D716" t="s">
        <v>221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317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108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111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222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105</v>
      </c>
      <c r="E721" t="s">
        <v>106</v>
      </c>
      <c r="F721">
        <v>0.40899999999999997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109</v>
      </c>
      <c r="E728" t="s">
        <v>13</v>
      </c>
      <c r="F728">
        <v>1.2430000000000001</v>
      </c>
      <c r="G728" t="s">
        <v>14</v>
      </c>
    </row>
    <row r="729" spans="1:7" x14ac:dyDescent="0.25">
      <c r="A729">
        <v>56</v>
      </c>
      <c r="B729" t="s">
        <v>222</v>
      </c>
      <c r="C729">
        <v>130</v>
      </c>
      <c r="D729" t="s">
        <v>223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318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108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111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224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105</v>
      </c>
      <c r="E734" t="s">
        <v>106</v>
      </c>
      <c r="F734">
        <v>0.47899999999999998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109</v>
      </c>
      <c r="E741" t="s">
        <v>13</v>
      </c>
      <c r="F741">
        <v>1.2430000000000001</v>
      </c>
      <c r="G741" t="s">
        <v>14</v>
      </c>
    </row>
    <row r="742" spans="1:7" x14ac:dyDescent="0.25">
      <c r="A742">
        <v>57</v>
      </c>
      <c r="B742" t="s">
        <v>224</v>
      </c>
      <c r="C742">
        <v>130</v>
      </c>
      <c r="D742" t="s">
        <v>225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319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108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111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226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105</v>
      </c>
      <c r="E747" t="s">
        <v>106</v>
      </c>
      <c r="F747">
        <v>0.55000000000000004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109</v>
      </c>
      <c r="E754" t="s">
        <v>13</v>
      </c>
      <c r="F754">
        <v>1.2430000000000001</v>
      </c>
      <c r="G754" t="s">
        <v>14</v>
      </c>
    </row>
    <row r="755" spans="1:7" x14ac:dyDescent="0.25">
      <c r="A755">
        <v>58</v>
      </c>
      <c r="B755" t="s">
        <v>226</v>
      </c>
      <c r="C755">
        <v>130</v>
      </c>
      <c r="D755" t="s">
        <v>227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320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108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111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228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105</v>
      </c>
      <c r="E760" t="s">
        <v>106</v>
      </c>
      <c r="F760">
        <v>0.69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109</v>
      </c>
      <c r="E767" t="s">
        <v>13</v>
      </c>
      <c r="F767">
        <v>1.2430000000000001</v>
      </c>
      <c r="G767" t="s">
        <v>14</v>
      </c>
    </row>
    <row r="768" spans="1:7" x14ac:dyDescent="0.25">
      <c r="A768">
        <v>59</v>
      </c>
      <c r="B768" t="s">
        <v>228</v>
      </c>
      <c r="C768">
        <v>130</v>
      </c>
      <c r="D768" t="s">
        <v>229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321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108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111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230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105</v>
      </c>
      <c r="E773" t="s">
        <v>106</v>
      </c>
      <c r="F773">
        <v>0.76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109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60</v>
      </c>
      <c r="B781" t="s">
        <v>230</v>
      </c>
      <c r="C781">
        <v>130</v>
      </c>
      <c r="D781" t="s">
        <v>231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322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108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111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232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105</v>
      </c>
      <c r="E786" t="s">
        <v>106</v>
      </c>
      <c r="F786">
        <v>0.83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109</v>
      </c>
      <c r="E793" t="s">
        <v>13</v>
      </c>
      <c r="F793">
        <v>1.2430000000000001</v>
      </c>
      <c r="G793" t="s">
        <v>14</v>
      </c>
    </row>
    <row r="794" spans="1:7" x14ac:dyDescent="0.25">
      <c r="A794">
        <v>61</v>
      </c>
      <c r="B794" t="s">
        <v>232</v>
      </c>
      <c r="C794">
        <v>130</v>
      </c>
      <c r="D794" t="s">
        <v>233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323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108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111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234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105</v>
      </c>
      <c r="E799" t="s">
        <v>106</v>
      </c>
      <c r="F799">
        <v>0.34799999999999998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109</v>
      </c>
      <c r="E806" t="s">
        <v>13</v>
      </c>
      <c r="F806">
        <v>1.27</v>
      </c>
      <c r="G806" t="s">
        <v>14</v>
      </c>
    </row>
    <row r="807" spans="1:7" x14ac:dyDescent="0.25">
      <c r="A807">
        <v>62</v>
      </c>
      <c r="B807" t="s">
        <v>234</v>
      </c>
      <c r="C807">
        <v>130</v>
      </c>
      <c r="D807" t="s">
        <v>235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324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108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111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236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105</v>
      </c>
      <c r="E812" t="s">
        <v>106</v>
      </c>
      <c r="F812">
        <v>0.42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109</v>
      </c>
      <c r="E819" t="s">
        <v>13</v>
      </c>
      <c r="F819">
        <v>1.27</v>
      </c>
      <c r="G819" t="s">
        <v>14</v>
      </c>
    </row>
    <row r="820" spans="1:7" x14ac:dyDescent="0.25">
      <c r="A820">
        <v>63</v>
      </c>
      <c r="B820" t="s">
        <v>236</v>
      </c>
      <c r="C820">
        <v>130</v>
      </c>
      <c r="D820" t="s">
        <v>237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325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108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111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238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105</v>
      </c>
      <c r="E825" t="s">
        <v>106</v>
      </c>
      <c r="F825">
        <v>0.49199999999999999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109</v>
      </c>
      <c r="E832" t="s">
        <v>13</v>
      </c>
      <c r="F832">
        <v>1.27</v>
      </c>
      <c r="G832" t="s">
        <v>14</v>
      </c>
    </row>
    <row r="833" spans="1:7" x14ac:dyDescent="0.25">
      <c r="A833">
        <v>64</v>
      </c>
      <c r="B833" t="s">
        <v>238</v>
      </c>
      <c r="C833">
        <v>130</v>
      </c>
      <c r="D833" t="s">
        <v>239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326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108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111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240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105</v>
      </c>
      <c r="E838" t="s">
        <v>106</v>
      </c>
      <c r="F838">
        <v>0.56399999999999995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109</v>
      </c>
      <c r="E845" t="s">
        <v>13</v>
      </c>
      <c r="F845">
        <v>1.27</v>
      </c>
      <c r="G845" t="s">
        <v>14</v>
      </c>
    </row>
    <row r="846" spans="1:7" x14ac:dyDescent="0.25">
      <c r="A846">
        <v>65</v>
      </c>
      <c r="B846" t="s">
        <v>240</v>
      </c>
      <c r="C846">
        <v>130</v>
      </c>
      <c r="D846" t="s">
        <v>241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327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108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111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242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105</v>
      </c>
      <c r="E851" t="s">
        <v>106</v>
      </c>
      <c r="F851">
        <v>0.70799999999999996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109</v>
      </c>
      <c r="E858" t="s">
        <v>13</v>
      </c>
      <c r="F858">
        <v>1.27</v>
      </c>
      <c r="G858" t="s">
        <v>14</v>
      </c>
    </row>
    <row r="859" spans="1:7" x14ac:dyDescent="0.25">
      <c r="A859">
        <v>66</v>
      </c>
      <c r="B859" t="s">
        <v>242</v>
      </c>
      <c r="C859">
        <v>130</v>
      </c>
      <c r="D859" t="s">
        <v>243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328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108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111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244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105</v>
      </c>
      <c r="E864" t="s">
        <v>106</v>
      </c>
      <c r="F864">
        <v>0.78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109</v>
      </c>
      <c r="E871" t="s">
        <v>13</v>
      </c>
      <c r="F871">
        <v>1.27</v>
      </c>
      <c r="G871" t="s">
        <v>14</v>
      </c>
    </row>
    <row r="872" spans="1:7" x14ac:dyDescent="0.25">
      <c r="A872">
        <v>67</v>
      </c>
      <c r="B872" t="s">
        <v>244</v>
      </c>
      <c r="C872">
        <v>130</v>
      </c>
      <c r="D872" t="s">
        <v>245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329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108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111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246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105</v>
      </c>
      <c r="E877" t="s">
        <v>106</v>
      </c>
      <c r="F877">
        <v>0.85199999999999998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109</v>
      </c>
      <c r="E884" t="s">
        <v>13</v>
      </c>
      <c r="F884">
        <v>1.27</v>
      </c>
      <c r="G884" t="s">
        <v>14</v>
      </c>
    </row>
    <row r="885" spans="1:7" x14ac:dyDescent="0.25">
      <c r="A885">
        <v>68</v>
      </c>
      <c r="B885" t="s">
        <v>246</v>
      </c>
      <c r="C885">
        <v>130</v>
      </c>
      <c r="D885" t="s">
        <v>247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330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108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111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248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105</v>
      </c>
      <c r="E890" t="s">
        <v>106</v>
      </c>
      <c r="F890">
        <v>0.36599999999999999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109</v>
      </c>
      <c r="E897" t="s">
        <v>13</v>
      </c>
      <c r="F897">
        <v>1.3240000000000001</v>
      </c>
      <c r="G897" t="s">
        <v>14</v>
      </c>
    </row>
    <row r="898" spans="1:7" x14ac:dyDescent="0.25">
      <c r="A898">
        <v>69</v>
      </c>
      <c r="B898" t="s">
        <v>248</v>
      </c>
      <c r="C898">
        <v>130</v>
      </c>
      <c r="D898" t="s">
        <v>249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331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108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111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250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105</v>
      </c>
      <c r="E903" t="s">
        <v>106</v>
      </c>
      <c r="F903">
        <v>0.441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109</v>
      </c>
      <c r="E910" t="s">
        <v>13</v>
      </c>
      <c r="F910">
        <v>1.3240000000000001</v>
      </c>
      <c r="G910" t="s">
        <v>14</v>
      </c>
    </row>
    <row r="911" spans="1:7" x14ac:dyDescent="0.25">
      <c r="A911">
        <v>70</v>
      </c>
      <c r="B911" t="s">
        <v>250</v>
      </c>
      <c r="C911">
        <v>130</v>
      </c>
      <c r="D911" t="s">
        <v>251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332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108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111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252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105</v>
      </c>
      <c r="E916" t="s">
        <v>106</v>
      </c>
      <c r="F916">
        <v>0.51700000000000002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109</v>
      </c>
      <c r="E923" t="s">
        <v>13</v>
      </c>
      <c r="F923">
        <v>1.3240000000000001</v>
      </c>
      <c r="G923" t="s">
        <v>14</v>
      </c>
    </row>
    <row r="924" spans="1:7" x14ac:dyDescent="0.25">
      <c r="A924">
        <v>71</v>
      </c>
      <c r="B924" t="s">
        <v>252</v>
      </c>
      <c r="C924">
        <v>130</v>
      </c>
      <c r="D924" t="s">
        <v>253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333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108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111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254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105</v>
      </c>
      <c r="E929" t="s">
        <v>106</v>
      </c>
      <c r="F929">
        <v>0.59199999999999997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109</v>
      </c>
      <c r="E936" t="s">
        <v>13</v>
      </c>
      <c r="F936">
        <v>1.3240000000000001</v>
      </c>
      <c r="G936" t="s">
        <v>14</v>
      </c>
    </row>
    <row r="937" spans="1:7" x14ac:dyDescent="0.25">
      <c r="A937">
        <v>72</v>
      </c>
      <c r="B937" t="s">
        <v>254</v>
      </c>
      <c r="C937">
        <v>130</v>
      </c>
      <c r="D937" t="s">
        <v>255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334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108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111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256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105</v>
      </c>
      <c r="E942" t="s">
        <v>106</v>
      </c>
      <c r="F942">
        <v>0.74399999999999999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109</v>
      </c>
      <c r="E949" t="s">
        <v>13</v>
      </c>
      <c r="F949">
        <v>1.3240000000000001</v>
      </c>
      <c r="G949" t="s">
        <v>14</v>
      </c>
    </row>
    <row r="950" spans="1:7" x14ac:dyDescent="0.25">
      <c r="A950">
        <v>73</v>
      </c>
      <c r="B950" t="s">
        <v>256</v>
      </c>
      <c r="C950">
        <v>130</v>
      </c>
      <c r="D950" t="s">
        <v>257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335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108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111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258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105</v>
      </c>
      <c r="E955" t="s">
        <v>106</v>
      </c>
      <c r="F955">
        <v>0.81899999999999995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109</v>
      </c>
      <c r="E962" t="s">
        <v>13</v>
      </c>
      <c r="F962">
        <v>1.3240000000000001</v>
      </c>
      <c r="G962" t="s">
        <v>14</v>
      </c>
    </row>
    <row r="963" spans="1:7" x14ac:dyDescent="0.25">
      <c r="A963">
        <v>74</v>
      </c>
      <c r="B963" t="s">
        <v>258</v>
      </c>
      <c r="C963">
        <v>130</v>
      </c>
      <c r="D963" t="s">
        <v>259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336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108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111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260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105</v>
      </c>
      <c r="E968" t="s">
        <v>106</v>
      </c>
      <c r="F968">
        <v>0.89500000000000002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109</v>
      </c>
      <c r="E975" t="s">
        <v>13</v>
      </c>
      <c r="F975">
        <v>1.3240000000000001</v>
      </c>
      <c r="G975" t="s">
        <v>14</v>
      </c>
    </row>
    <row r="976" spans="1:7" x14ac:dyDescent="0.25">
      <c r="A976">
        <v>75</v>
      </c>
      <c r="B976" t="s">
        <v>260</v>
      </c>
      <c r="C976">
        <v>130</v>
      </c>
      <c r="D976" t="s">
        <v>261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108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111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0.34499999999999997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0.63500000000000001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108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111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0.41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0.71599999999999997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108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111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116</v>
      </c>
      <c r="D35" s="3"/>
      <c r="E35" s="3" t="s">
        <v>116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0.47399999999999998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116</v>
      </c>
      <c r="D36" s="3"/>
      <c r="E36" s="3" t="s">
        <v>116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116</v>
      </c>
      <c r="D37" s="3"/>
      <c r="E37" s="3" t="s">
        <v>116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116</v>
      </c>
      <c r="D38" s="3"/>
      <c r="E38" s="3" t="s">
        <v>116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116</v>
      </c>
      <c r="D39" s="3"/>
      <c r="E39" s="3" t="s">
        <v>116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116</v>
      </c>
      <c r="D40" s="3"/>
      <c r="E40" s="3" t="s">
        <v>116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0.79700000000000004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108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111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118</v>
      </c>
      <c r="D47" s="3"/>
      <c r="E47" s="3" t="s">
        <v>118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118</v>
      </c>
      <c r="D48" s="3"/>
      <c r="E48" s="3" t="s">
        <v>118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0.53900000000000003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118</v>
      </c>
      <c r="D49" s="3"/>
      <c r="E49" s="3" t="s">
        <v>118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118</v>
      </c>
      <c r="D50" s="3"/>
      <c r="E50" s="3" t="s">
        <v>118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118</v>
      </c>
      <c r="D51" s="3"/>
      <c r="E51" s="3" t="s">
        <v>118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118</v>
      </c>
      <c r="D52" s="3"/>
      <c r="E52" s="3" t="s">
        <v>118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118</v>
      </c>
      <c r="D53" s="3"/>
      <c r="E53" s="3" t="s">
        <v>118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118</v>
      </c>
      <c r="D54" s="3"/>
      <c r="E54" s="3" t="s">
        <v>118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118</v>
      </c>
      <c r="D55" s="3"/>
      <c r="E55" s="3" t="s">
        <v>118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0.878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118</v>
      </c>
      <c r="D56" s="3"/>
      <c r="E56" s="3" t="s">
        <v>118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119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120</v>
      </c>
      <c r="D57" s="3"/>
      <c r="E57" s="3" t="s">
        <v>120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120</v>
      </c>
      <c r="D58" s="3"/>
      <c r="E58" s="3" t="s">
        <v>120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108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120</v>
      </c>
      <c r="D59" s="3"/>
      <c r="E59" s="3" t="s">
        <v>120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111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120</v>
      </c>
      <c r="D60" s="3"/>
      <c r="E60" s="3" t="s">
        <v>120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120</v>
      </c>
      <c r="D61" s="3"/>
      <c r="E61" s="3" t="s">
        <v>120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0.57199999999999995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120</v>
      </c>
      <c r="D62" s="3"/>
      <c r="E62" s="3" t="s">
        <v>120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120</v>
      </c>
      <c r="D63" s="3"/>
      <c r="E63" s="3" t="s">
        <v>120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120</v>
      </c>
      <c r="D64" s="3"/>
      <c r="E64" s="3" t="s">
        <v>120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120</v>
      </c>
      <c r="D65" s="3"/>
      <c r="E65" s="3" t="s">
        <v>120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120</v>
      </c>
      <c r="D66" s="3"/>
      <c r="E66" s="3" t="s">
        <v>120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120</v>
      </c>
      <c r="D67" s="3"/>
      <c r="E67" s="3" t="s">
        <v>120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120</v>
      </c>
      <c r="D68" s="3"/>
      <c r="E68" s="3" t="s">
        <v>120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0.91900000000000004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120</v>
      </c>
      <c r="D69" s="3"/>
      <c r="E69" s="3" t="s">
        <v>120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122</v>
      </c>
      <c r="D70" s="3"/>
      <c r="E70" s="3" t="s">
        <v>122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122</v>
      </c>
      <c r="D71" s="3"/>
      <c r="E71" s="3" t="s">
        <v>122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108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122</v>
      </c>
      <c r="D72" s="3"/>
      <c r="E72" s="3" t="s">
        <v>122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111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122</v>
      </c>
      <c r="D73" s="3"/>
      <c r="E73" s="3" t="s">
        <v>122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122</v>
      </c>
      <c r="D74" s="3"/>
      <c r="E74" s="3" t="s">
        <v>122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0.60399999999999998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122</v>
      </c>
      <c r="D75" s="3"/>
      <c r="E75" s="3" t="s">
        <v>122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122</v>
      </c>
      <c r="D76" s="3"/>
      <c r="E76" s="3" t="s">
        <v>122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122</v>
      </c>
      <c r="D77" s="3"/>
      <c r="E77" s="3" t="s">
        <v>122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122</v>
      </c>
      <c r="D78" s="3"/>
      <c r="E78" s="3" t="s">
        <v>122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122</v>
      </c>
      <c r="D79" s="3"/>
      <c r="E79" s="3" t="s">
        <v>122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122</v>
      </c>
      <c r="D80" s="3"/>
      <c r="E80" s="3" t="s">
        <v>122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122</v>
      </c>
      <c r="D81" s="3"/>
      <c r="E81" s="3" t="s">
        <v>122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0.95899999999999996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122</v>
      </c>
      <c r="D82" s="3"/>
      <c r="E82" s="3" t="s">
        <v>122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124</v>
      </c>
      <c r="D83" s="3"/>
      <c r="E83" s="3" t="s">
        <v>124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124</v>
      </c>
      <c r="D84" s="3"/>
      <c r="E84" s="3" t="s">
        <v>124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108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124</v>
      </c>
      <c r="D85" s="3"/>
      <c r="E85" s="3" t="s">
        <v>124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111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124</v>
      </c>
      <c r="D86" s="3"/>
      <c r="E86" s="3" t="s">
        <v>124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124</v>
      </c>
      <c r="D87" s="3"/>
      <c r="E87" s="3" t="s">
        <v>124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0.66900000000000004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124</v>
      </c>
      <c r="D89" s="3"/>
      <c r="E89" s="3" t="s">
        <v>124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124</v>
      </c>
      <c r="D90" s="3"/>
      <c r="E90" s="3" t="s">
        <v>124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124</v>
      </c>
      <c r="D91" s="3"/>
      <c r="E91" s="3" t="s">
        <v>124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124</v>
      </c>
      <c r="D92" s="3"/>
      <c r="E92" s="3" t="s">
        <v>124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124</v>
      </c>
      <c r="D93" s="3"/>
      <c r="E93" s="3" t="s">
        <v>124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124</v>
      </c>
      <c r="D94" s="3"/>
      <c r="E94" s="3" t="s">
        <v>124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1.04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124</v>
      </c>
      <c r="D95" s="3"/>
      <c r="E95" s="3" t="s">
        <v>124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125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126</v>
      </c>
      <c r="D96" s="3"/>
      <c r="E96" s="3" t="s">
        <v>126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269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126</v>
      </c>
      <c r="D97" s="3"/>
      <c r="E97" s="3" t="s">
        <v>126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108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126</v>
      </c>
      <c r="D98" s="3"/>
      <c r="E98" s="3" t="s">
        <v>126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111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126</v>
      </c>
      <c r="D99" s="3"/>
      <c r="E99" s="3" t="s">
        <v>126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126</v>
      </c>
      <c r="D100" s="3"/>
      <c r="E100" s="3" t="s">
        <v>126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0.73299999999999998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126</v>
      </c>
      <c r="D101" s="3"/>
      <c r="E101" s="3" t="s">
        <v>126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126</v>
      </c>
      <c r="D102" s="3"/>
      <c r="E102" s="3" t="s">
        <v>126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126</v>
      </c>
      <c r="D103" s="3"/>
      <c r="E103" s="3" t="s">
        <v>126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126</v>
      </c>
      <c r="D104" s="3"/>
      <c r="E104" s="3" t="s">
        <v>126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126</v>
      </c>
      <c r="D105" s="3"/>
      <c r="E105" s="3" t="s">
        <v>126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126</v>
      </c>
      <c r="D106" s="3"/>
      <c r="E106" s="3" t="s">
        <v>126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126</v>
      </c>
      <c r="D107" s="3"/>
      <c r="E107" s="3" t="s">
        <v>126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1.121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126</v>
      </c>
      <c r="D108" s="3"/>
      <c r="E108" s="3" t="s">
        <v>126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127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128</v>
      </c>
      <c r="D109" s="3"/>
      <c r="E109" s="3" t="s">
        <v>128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128</v>
      </c>
      <c r="D110" s="3"/>
      <c r="E110" s="3" t="s">
        <v>128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108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128</v>
      </c>
      <c r="D111" s="3"/>
      <c r="E111" s="3" t="s">
        <v>128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111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128</v>
      </c>
      <c r="D112" s="3"/>
      <c r="E112" s="3" t="s">
        <v>128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128</v>
      </c>
      <c r="D113" s="3"/>
      <c r="E113" s="3" t="s">
        <v>128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0.36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128</v>
      </c>
      <c r="D114" s="3"/>
      <c r="E114" s="3" t="s">
        <v>128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128</v>
      </c>
      <c r="D115" s="3"/>
      <c r="E115" s="3" t="s">
        <v>128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128</v>
      </c>
      <c r="D116" s="3"/>
      <c r="E116" s="3" t="s">
        <v>128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128</v>
      </c>
      <c r="D117" s="3"/>
      <c r="E117" s="3" t="s">
        <v>128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128</v>
      </c>
      <c r="D118" s="3"/>
      <c r="E118" s="3" t="s">
        <v>128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128</v>
      </c>
      <c r="D119" s="3"/>
      <c r="E119" s="3" t="s">
        <v>128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128</v>
      </c>
      <c r="D120" s="3"/>
      <c r="E120" s="3" t="s">
        <v>128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1.2030000000000001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128</v>
      </c>
      <c r="D121" s="3"/>
      <c r="E121" s="3" t="s">
        <v>128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129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108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111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0.42699999999999999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1.2030000000000001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132</v>
      </c>
      <c r="D135" s="3"/>
      <c r="E135" s="3" t="s">
        <v>132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132</v>
      </c>
      <c r="D136" s="3"/>
      <c r="E136" s="3" t="s">
        <v>132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108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111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0.495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1.2030000000000001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134</v>
      </c>
      <c r="D148" s="3"/>
      <c r="E148" s="3" t="s">
        <v>134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134</v>
      </c>
      <c r="D149" s="3"/>
      <c r="E149" s="3" t="s">
        <v>134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108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134</v>
      </c>
      <c r="D150" s="3"/>
      <c r="E150" s="3" t="s">
        <v>134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111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134</v>
      </c>
      <c r="D151" s="3"/>
      <c r="E151" s="3" t="s">
        <v>134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134</v>
      </c>
      <c r="D152" s="3"/>
      <c r="E152" s="3" t="s">
        <v>134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0.56200000000000006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134</v>
      </c>
      <c r="D153" s="3"/>
      <c r="E153" s="3" t="s">
        <v>134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134</v>
      </c>
      <c r="D154" s="3"/>
      <c r="E154" s="3" t="s">
        <v>134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134</v>
      </c>
      <c r="D155" s="3"/>
      <c r="E155" s="3" t="s">
        <v>134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134</v>
      </c>
      <c r="D156" s="3"/>
      <c r="E156" s="3" t="s">
        <v>134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134</v>
      </c>
      <c r="D157" s="3"/>
      <c r="E157" s="3" t="s">
        <v>134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134</v>
      </c>
      <c r="D158" s="3"/>
      <c r="E158" s="3" t="s">
        <v>134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1.2030000000000001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136</v>
      </c>
      <c r="D161" s="3"/>
      <c r="E161" s="3" t="s">
        <v>136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136</v>
      </c>
      <c r="D162" s="3"/>
      <c r="E162" s="3" t="s">
        <v>136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108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136</v>
      </c>
      <c r="D163" s="3"/>
      <c r="E163" s="3" t="s">
        <v>136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111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136</v>
      </c>
      <c r="D164" s="3"/>
      <c r="E164" s="3" t="s">
        <v>136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136</v>
      </c>
      <c r="D165" s="3"/>
      <c r="E165" s="3" t="s">
        <v>136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0.59599999999999997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136</v>
      </c>
      <c r="D166" s="3"/>
      <c r="E166" s="3" t="s">
        <v>136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136</v>
      </c>
      <c r="D167" s="3"/>
      <c r="E167" s="3" t="s">
        <v>136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136</v>
      </c>
      <c r="D168" s="3"/>
      <c r="E168" s="3" t="s">
        <v>136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136</v>
      </c>
      <c r="D169" s="3"/>
      <c r="E169" s="3" t="s">
        <v>136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136</v>
      </c>
      <c r="D170" s="3"/>
      <c r="E170" s="3" t="s">
        <v>136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136</v>
      </c>
      <c r="D171" s="3"/>
      <c r="E171" s="3" t="s">
        <v>136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136</v>
      </c>
      <c r="D172" s="3"/>
      <c r="E172" s="3" t="s">
        <v>136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1.2030000000000001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138</v>
      </c>
      <c r="D174" s="3"/>
      <c r="E174" s="3" t="s">
        <v>138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275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138</v>
      </c>
      <c r="D175" s="3"/>
      <c r="E175" s="3" t="s">
        <v>138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108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138</v>
      </c>
      <c r="D176" s="3"/>
      <c r="E176" s="3" t="s">
        <v>138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111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138</v>
      </c>
      <c r="D177" s="3"/>
      <c r="E177" s="3" t="s">
        <v>138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138</v>
      </c>
      <c r="D178" s="3"/>
      <c r="E178" s="3" t="s">
        <v>138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0.629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138</v>
      </c>
      <c r="D179" s="3"/>
      <c r="E179" s="3" t="s">
        <v>138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138</v>
      </c>
      <c r="D180" s="3"/>
      <c r="E180" s="3" t="s">
        <v>138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138</v>
      </c>
      <c r="D181" s="3"/>
      <c r="E181" s="3" t="s">
        <v>138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138</v>
      </c>
      <c r="D182" s="3"/>
      <c r="E182" s="3" t="s">
        <v>138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138</v>
      </c>
      <c r="D183" s="3"/>
      <c r="E183" s="3" t="s">
        <v>138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138</v>
      </c>
      <c r="D184" s="3"/>
      <c r="E184" s="3" t="s">
        <v>138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1.2030000000000001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139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140</v>
      </c>
      <c r="D187" s="3"/>
      <c r="E187" s="3" t="s">
        <v>140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140</v>
      </c>
      <c r="D188" s="3"/>
      <c r="E188" s="3" t="s">
        <v>140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108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140</v>
      </c>
      <c r="D189" s="3"/>
      <c r="E189" s="3" t="s">
        <v>140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111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140</v>
      </c>
      <c r="D190" s="3"/>
      <c r="E190" s="3" t="s">
        <v>140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140</v>
      </c>
      <c r="D191" s="3"/>
      <c r="E191" s="3" t="s">
        <v>140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0.69699999999999995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140</v>
      </c>
      <c r="D192" s="3"/>
      <c r="E192" s="3" t="s">
        <v>140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140</v>
      </c>
      <c r="D193" s="3"/>
      <c r="E193" s="3" t="s">
        <v>140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140</v>
      </c>
      <c r="D194" s="3"/>
      <c r="E194" s="3" t="s">
        <v>140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140</v>
      </c>
      <c r="D195" s="3"/>
      <c r="E195" s="3" t="s">
        <v>140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140</v>
      </c>
      <c r="D196" s="3"/>
      <c r="E196" s="3" t="s">
        <v>140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1.2030000000000001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142</v>
      </c>
      <c r="D201" s="3"/>
      <c r="E201" s="3" t="s">
        <v>142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108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142</v>
      </c>
      <c r="D202" s="3"/>
      <c r="E202" s="3" t="s">
        <v>142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111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142</v>
      </c>
      <c r="D203" s="3"/>
      <c r="E203" s="3" t="s">
        <v>142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142</v>
      </c>
      <c r="D204" s="3"/>
      <c r="E204" s="3" t="s">
        <v>142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0.76400000000000001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142</v>
      </c>
      <c r="D205" s="3"/>
      <c r="E205" s="3" t="s">
        <v>142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142</v>
      </c>
      <c r="D206" s="3"/>
      <c r="E206" s="3" t="s">
        <v>142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142</v>
      </c>
      <c r="D207" s="3"/>
      <c r="E207" s="3" t="s">
        <v>142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142</v>
      </c>
      <c r="D208" s="3"/>
      <c r="E208" s="3" t="s">
        <v>142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1.2030000000000001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144</v>
      </c>
      <c r="D213" s="3"/>
      <c r="E213" s="3" t="s">
        <v>144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144</v>
      </c>
      <c r="D214" s="3"/>
      <c r="E214" s="3" t="s">
        <v>144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108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144</v>
      </c>
      <c r="D215" s="3"/>
      <c r="E215" s="3" t="s">
        <v>144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111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144</v>
      </c>
      <c r="D216" s="3"/>
      <c r="E216" s="3" t="s">
        <v>144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144</v>
      </c>
      <c r="D217" s="3"/>
      <c r="E217" s="3" t="s">
        <v>144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0.374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144</v>
      </c>
      <c r="D218" s="3"/>
      <c r="E218" s="3" t="s">
        <v>144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144</v>
      </c>
      <c r="D219" s="3"/>
      <c r="E219" s="3" t="s">
        <v>144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144</v>
      </c>
      <c r="D220" s="3"/>
      <c r="E220" s="3" t="s">
        <v>144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1.2430000000000001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279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108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111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146</v>
      </c>
      <c r="D229" s="3"/>
      <c r="E229" s="3" t="s">
        <v>146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146</v>
      </c>
      <c r="D230" s="3"/>
      <c r="E230" s="3" t="s">
        <v>146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0.44400000000000001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146</v>
      </c>
      <c r="D231" s="3"/>
      <c r="E231" s="3" t="s">
        <v>146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146</v>
      </c>
      <c r="D232" s="3"/>
      <c r="E232" s="3" t="s">
        <v>146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1.2430000000000001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147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108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111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0.51500000000000001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1.2430000000000001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149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108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111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0.58499999999999996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1.2430000000000001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108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111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0.62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1.2430000000000001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108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111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0.65500000000000003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156</v>
      </c>
      <c r="D291" s="3"/>
      <c r="E291" s="3" t="s">
        <v>156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156</v>
      </c>
      <c r="D292" s="3"/>
      <c r="E292" s="3" t="s">
        <v>156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108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111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0.72499999999999998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1.2430000000000001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158</v>
      </c>
      <c r="D304" s="3"/>
      <c r="E304" s="3" t="s">
        <v>158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108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111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0.79500000000000004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108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111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0.38400000000000001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1.27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287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108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111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0.45600000000000002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1.27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108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111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0.52800000000000002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164</v>
      </c>
      <c r="D353" s="3"/>
      <c r="E353" s="3" t="s">
        <v>164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164</v>
      </c>
      <c r="D354" s="3"/>
      <c r="E354" s="3" t="s">
        <v>164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1.27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164</v>
      </c>
      <c r="D355" s="3"/>
      <c r="E355" s="3" t="s">
        <v>164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289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108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111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0.6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166</v>
      </c>
      <c r="D365" s="3"/>
      <c r="E365" s="3" t="s">
        <v>166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166</v>
      </c>
      <c r="D366" s="3"/>
      <c r="E366" s="3" t="s">
        <v>166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166</v>
      </c>
      <c r="D367" s="3"/>
      <c r="E367" s="3" t="s">
        <v>166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166</v>
      </c>
      <c r="D368" s="3"/>
      <c r="E368" s="3" t="s">
        <v>166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108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111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0.63600000000000001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168</v>
      </c>
      <c r="D379" s="3"/>
      <c r="E379" s="3" t="s">
        <v>168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168</v>
      </c>
      <c r="D380" s="3"/>
      <c r="E380" s="3" t="s">
        <v>168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1.27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168</v>
      </c>
      <c r="D381" s="3"/>
      <c r="E381" s="3" t="s">
        <v>168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169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108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111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0.67200000000000004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170</v>
      </c>
      <c r="D390" s="3"/>
      <c r="E390" s="3" t="s">
        <v>170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170</v>
      </c>
      <c r="D391" s="3"/>
      <c r="E391" s="3" t="s">
        <v>170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170</v>
      </c>
      <c r="D392" s="3"/>
      <c r="E392" s="3" t="s">
        <v>170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170</v>
      </c>
      <c r="D393" s="3"/>
      <c r="E393" s="3" t="s">
        <v>170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1.27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170</v>
      </c>
      <c r="D394" s="3"/>
      <c r="E394" s="3" t="s">
        <v>170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108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111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0.74399999999999999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172</v>
      </c>
      <c r="D401" s="3"/>
      <c r="E401" s="3" t="s">
        <v>172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172</v>
      </c>
      <c r="D402" s="3"/>
      <c r="E402" s="3" t="s">
        <v>172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172</v>
      </c>
      <c r="D403" s="3"/>
      <c r="E403" s="3" t="s">
        <v>172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172</v>
      </c>
      <c r="D404" s="3"/>
      <c r="E404" s="3" t="s">
        <v>172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172</v>
      </c>
      <c r="D405" s="3"/>
      <c r="E405" s="3" t="s">
        <v>172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172</v>
      </c>
      <c r="D406" s="3"/>
      <c r="E406" s="3" t="s">
        <v>172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1.27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172</v>
      </c>
      <c r="D407" s="3"/>
      <c r="E407" s="3" t="s">
        <v>172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108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111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0.81599999999999995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174</v>
      </c>
      <c r="D413" s="3"/>
      <c r="E413" s="3" t="s">
        <v>174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174</v>
      </c>
      <c r="D414" s="3"/>
      <c r="E414" s="3" t="s">
        <v>174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174</v>
      </c>
      <c r="D415" s="3"/>
      <c r="E415" s="3" t="s">
        <v>174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174</v>
      </c>
      <c r="D416" s="3"/>
      <c r="E416" s="3" t="s">
        <v>174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174</v>
      </c>
      <c r="D417" s="3"/>
      <c r="E417" s="3" t="s">
        <v>174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174</v>
      </c>
      <c r="D418" s="3"/>
      <c r="E418" s="3" t="s">
        <v>174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174</v>
      </c>
      <c r="D419" s="3"/>
      <c r="E419" s="3" t="s">
        <v>174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1.27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174</v>
      </c>
      <c r="D420" s="3"/>
      <c r="E420" s="3" t="s">
        <v>174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108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111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176</v>
      </c>
      <c r="D425" s="3"/>
      <c r="E425" s="3" t="s">
        <v>176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0.40300000000000002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176</v>
      </c>
      <c r="D426" s="3"/>
      <c r="E426" s="3" t="s">
        <v>176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176</v>
      </c>
      <c r="D427" s="3"/>
      <c r="E427" s="3" t="s">
        <v>176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176</v>
      </c>
      <c r="D428" s="3"/>
      <c r="E428" s="3" t="s">
        <v>176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176</v>
      </c>
      <c r="D429" s="3"/>
      <c r="E429" s="3" t="s">
        <v>176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176</v>
      </c>
      <c r="D430" s="3"/>
      <c r="E430" s="3" t="s">
        <v>176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176</v>
      </c>
      <c r="D431" s="3"/>
      <c r="E431" s="3" t="s">
        <v>176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176</v>
      </c>
      <c r="D432" s="3"/>
      <c r="E432" s="3" t="s">
        <v>176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1.3240000000000001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176</v>
      </c>
      <c r="D433" s="3"/>
      <c r="E433" s="3" t="s">
        <v>176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178</v>
      </c>
      <c r="D434" s="3"/>
      <c r="E434" s="3" t="s">
        <v>178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178</v>
      </c>
      <c r="D435" s="3"/>
      <c r="E435" s="3" t="s">
        <v>178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108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178</v>
      </c>
      <c r="D436" s="3"/>
      <c r="E436" s="3" t="s">
        <v>178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111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178</v>
      </c>
      <c r="D437" s="3"/>
      <c r="E437" s="3" t="s">
        <v>178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178</v>
      </c>
      <c r="D438" s="3"/>
      <c r="E438" s="3" t="s">
        <v>178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0.47899999999999998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178</v>
      </c>
      <c r="D439" s="3"/>
      <c r="E439" s="3" t="s">
        <v>178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178</v>
      </c>
      <c r="D440" s="3"/>
      <c r="E440" s="3" t="s">
        <v>178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178</v>
      </c>
      <c r="D441" s="3"/>
      <c r="E441" s="3" t="s">
        <v>178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178</v>
      </c>
      <c r="D442" s="3"/>
      <c r="E442" s="3" t="s">
        <v>178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178</v>
      </c>
      <c r="D443" s="3"/>
      <c r="E443" s="3" t="s">
        <v>178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178</v>
      </c>
      <c r="D444" s="3"/>
      <c r="E444" s="3" t="s">
        <v>178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178</v>
      </c>
      <c r="D445" s="3"/>
      <c r="E445" s="3" t="s">
        <v>178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1.3240000000000001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178</v>
      </c>
      <c r="D446" s="3"/>
      <c r="E446" s="3" t="s">
        <v>178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179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180</v>
      </c>
      <c r="D447" s="3"/>
      <c r="E447" s="3" t="s">
        <v>180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180</v>
      </c>
      <c r="D448" s="3"/>
      <c r="E448" s="3" t="s">
        <v>180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108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180</v>
      </c>
      <c r="D449" s="3"/>
      <c r="E449" s="3" t="s">
        <v>180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111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180</v>
      </c>
      <c r="D450" s="3"/>
      <c r="E450" s="3" t="s">
        <v>180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180</v>
      </c>
      <c r="D451" s="3"/>
      <c r="E451" s="3" t="s">
        <v>180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0.55500000000000005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180</v>
      </c>
      <c r="D452" s="3"/>
      <c r="E452" s="3" t="s">
        <v>180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180</v>
      </c>
      <c r="D453" s="3"/>
      <c r="E453" s="3" t="s">
        <v>180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180</v>
      </c>
      <c r="D454" s="3"/>
      <c r="E454" s="3" t="s">
        <v>180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180</v>
      </c>
      <c r="D455" s="3"/>
      <c r="E455" s="3" t="s">
        <v>180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180</v>
      </c>
      <c r="D456" s="3"/>
      <c r="E456" s="3" t="s">
        <v>180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180</v>
      </c>
      <c r="D457" s="3"/>
      <c r="E457" s="3" t="s">
        <v>180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180</v>
      </c>
      <c r="D458" s="3"/>
      <c r="E458" s="3" t="s">
        <v>180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1.3240000000000001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180</v>
      </c>
      <c r="D459" s="3"/>
      <c r="E459" s="3" t="s">
        <v>180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297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182</v>
      </c>
      <c r="D461" s="3"/>
      <c r="E461" s="3" t="s">
        <v>182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108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182</v>
      </c>
      <c r="D462" s="3"/>
      <c r="E462" s="3" t="s">
        <v>182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111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182</v>
      </c>
      <c r="D463" s="3"/>
      <c r="E463" s="3" t="s">
        <v>182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182</v>
      </c>
      <c r="D464" s="3"/>
      <c r="E464" s="3" t="s">
        <v>182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0.63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182</v>
      </c>
      <c r="D465" s="3"/>
      <c r="E465" s="3" t="s">
        <v>182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182</v>
      </c>
      <c r="D466" s="3"/>
      <c r="E466" s="3" t="s">
        <v>182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182</v>
      </c>
      <c r="D467" s="3"/>
      <c r="E467" s="3" t="s">
        <v>182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182</v>
      </c>
      <c r="D468" s="3"/>
      <c r="E468" s="3" t="s">
        <v>182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182</v>
      </c>
      <c r="D469" s="3"/>
      <c r="E469" s="3" t="s">
        <v>182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182</v>
      </c>
      <c r="D470" s="3"/>
      <c r="E470" s="3" t="s">
        <v>182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182</v>
      </c>
      <c r="D471" s="3"/>
      <c r="E471" s="3" t="s">
        <v>182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182</v>
      </c>
      <c r="D472" s="3"/>
      <c r="E472" s="3" t="s">
        <v>182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108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111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0.66800000000000004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1.3240000000000001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184</v>
      </c>
      <c r="D485" s="3"/>
      <c r="E485" s="3" t="s">
        <v>184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186</v>
      </c>
      <c r="D486" s="3"/>
      <c r="E486" s="3" t="s">
        <v>186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299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186</v>
      </c>
      <c r="D487" s="3"/>
      <c r="E487" s="3" t="s">
        <v>186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108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186</v>
      </c>
      <c r="D488" s="3"/>
      <c r="E488" s="3" t="s">
        <v>186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111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186</v>
      </c>
      <c r="D489" s="3"/>
      <c r="E489" s="3" t="s">
        <v>186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186</v>
      </c>
      <c r="D490" s="3"/>
      <c r="E490" s="3" t="s">
        <v>186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0.70599999999999996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186</v>
      </c>
      <c r="D491" s="3"/>
      <c r="E491" s="3" t="s">
        <v>186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186</v>
      </c>
      <c r="D492" s="3"/>
      <c r="E492" s="3" t="s">
        <v>186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186</v>
      </c>
      <c r="D493" s="3"/>
      <c r="E493" s="3" t="s">
        <v>186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186</v>
      </c>
      <c r="D494" s="3"/>
      <c r="E494" s="3" t="s">
        <v>186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186</v>
      </c>
      <c r="D495" s="3"/>
      <c r="E495" s="3" t="s">
        <v>186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186</v>
      </c>
      <c r="D496" s="3"/>
      <c r="E496" s="3" t="s">
        <v>186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1.3240000000000001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187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188</v>
      </c>
      <c r="D500" s="3"/>
      <c r="E500" s="3" t="s">
        <v>188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108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188</v>
      </c>
      <c r="D501" s="3"/>
      <c r="E501" s="3" t="s">
        <v>188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111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188</v>
      </c>
      <c r="D502" s="3"/>
      <c r="E502" s="3" t="s">
        <v>188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188</v>
      </c>
      <c r="D503" s="3"/>
      <c r="E503" s="3" t="s">
        <v>188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0.78200000000000003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188</v>
      </c>
      <c r="D504" s="3"/>
      <c r="E504" s="3" t="s">
        <v>188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188</v>
      </c>
      <c r="D505" s="3"/>
      <c r="E505" s="3" t="s">
        <v>188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188</v>
      </c>
      <c r="D506" s="3"/>
      <c r="E506" s="3" t="s">
        <v>188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188</v>
      </c>
      <c r="D507" s="3"/>
      <c r="E507" s="3" t="s">
        <v>188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188</v>
      </c>
      <c r="D508" s="3"/>
      <c r="E508" s="3" t="s">
        <v>188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188</v>
      </c>
      <c r="D509" s="3"/>
      <c r="E509" s="3" t="s">
        <v>188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188</v>
      </c>
      <c r="D510" s="3"/>
      <c r="E510" s="3" t="s">
        <v>188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1.3240000000000001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188</v>
      </c>
      <c r="D511" s="3"/>
      <c r="E511" s="3" t="s">
        <v>188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189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108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111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0.85699999999999998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190</v>
      </c>
      <c r="D521" s="3"/>
      <c r="E521" s="3" t="s">
        <v>190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190</v>
      </c>
      <c r="D522" s="3"/>
      <c r="E522" s="3" t="s">
        <v>190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190</v>
      </c>
      <c r="D523" s="3"/>
      <c r="E523" s="3" t="s">
        <v>190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1.3240000000000001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190</v>
      </c>
      <c r="D524" s="3"/>
      <c r="E524" s="3" t="s">
        <v>190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108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111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0.313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0.59499999999999997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108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111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0.377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0.67600000000000005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108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111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0.442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0.75700000000000001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108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111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0.50700000000000001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0.83799999999999997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199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108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111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0.63600000000000001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108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111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0.70099999999999996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1.081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308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108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111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0.76600000000000001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1.1619999999999999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309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108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111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0.32600000000000001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1.2030000000000001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207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108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111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0.39300000000000002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1.2030000000000001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209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108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111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0.46100000000000002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1.2030000000000001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108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111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0.52800000000000002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1.2030000000000001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108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111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0.66300000000000003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1.2030000000000001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108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111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0.73099999999999998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1.2030000000000001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217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108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111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0.79800000000000004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1.2030000000000001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219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108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111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0.33900000000000002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1.2430000000000001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317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108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111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0.40899999999999997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1.2430000000000001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108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111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0.47899999999999998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1.2430000000000001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108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111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0.55000000000000004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1.2430000000000001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108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111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0.69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1.2430000000000001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229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108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111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0.76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108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111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0.83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1.2430000000000001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323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108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111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0.34799999999999998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1.27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108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111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0.42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1.27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237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108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111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0.49199999999999999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1.27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239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326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108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111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0.56399999999999995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1.27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327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108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111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0.70799999999999996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1.27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108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111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0.78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1.27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329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108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111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0.85199999999999998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1.27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247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108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111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0.36599999999999999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1.3240000000000001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249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108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111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0.441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1.3240000000000001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108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111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0.51700000000000002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1.3240000000000001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253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108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111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0.59199999999999997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1.3240000000000001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108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111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0.74399999999999999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1.3240000000000001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257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108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111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0.81899999999999995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1.3240000000000001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259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108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111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0.89500000000000002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1.3240000000000001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2026-06-02T09:01:44Z</dcterms:modified>
</cp:coreProperties>
</file>