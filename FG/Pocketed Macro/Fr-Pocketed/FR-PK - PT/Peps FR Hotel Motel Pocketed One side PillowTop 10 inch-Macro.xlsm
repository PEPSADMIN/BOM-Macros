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H4" i="13" s="1"/>
  <c r="G3" i="13"/>
  <c r="G5" i="13" l="1"/>
  <c r="G13" i="13" l="1"/>
  <c r="H14" i="13" l="1"/>
  <c r="H13" i="13"/>
  <c r="H12" i="13"/>
  <c r="H11" i="13"/>
  <c r="H10" i="13"/>
  <c r="H9" i="13"/>
  <c r="G8" i="13"/>
  <c r="H8" i="13" s="1"/>
  <c r="G7" i="13"/>
  <c r="H7" i="13" s="1"/>
  <c r="G6" i="13"/>
  <c r="H6" i="13" s="1"/>
  <c r="H5" i="13"/>
  <c r="H3" i="13"/>
  <c r="H2" i="13"/>
</calcChain>
</file>

<file path=xl/sharedStrings.xml><?xml version="1.0" encoding="utf-8"?>
<sst xmlns="http://schemas.openxmlformats.org/spreadsheetml/2006/main" count="11047" uniqueCount="338">
  <si>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</si>
  <si>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</si>
  <si>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</si>
  <si>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</si>
  <si>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</si>
  <si>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</si>
  <si>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</si>
  <si>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</si>
  <si>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</si>
  <si>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</si>
  <si>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</si>
  <si>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</si>
  <si>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</si>
  <si>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</si>
  <si>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</si>
  <si>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</si>
  <si>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</si>
  <si>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</si>
  <si>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</si>
  <si>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</si>
  <si>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</si>
  <si>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</si>
  <si>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</si>
  <si>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</si>
  <si>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</si>
  <si>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</si>
  <si>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</si>
  <si>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</si>
  <si>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</si>
  <si>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</si>
  <si>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</si>
  <si>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</si>
  <si>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</si>
  <si>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</si>
  <si>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</si>
  <si>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</si>
  <si>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</si>
  <si>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</si>
  <si>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</si>
  <si>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</si>
  <si>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</si>
  <si>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</si>
  <si>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</si>
  <si>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</si>
  <si>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</si>
  <si>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</si>
  <si>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</si>
  <si>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</si>
  <si>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</si>
  <si>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</si>
  <si>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</si>
  <si>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</si>
  <si>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</si>
  <si>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</si>
  <si>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</si>
  <si>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</si>
  <si>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</si>
  <si>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</si>
  <si>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</si>
  <si>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</si>
  <si>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</si>
  <si>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</si>
  <si>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</si>
  <si>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</si>
  <si>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</si>
  <si>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</si>
  <si>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</si>
  <si>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</si>
  <si>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</si>
  <si>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</si>
  <si>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</si>
  <si>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</si>
  <si>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</si>
  <si>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</si>
  <si>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</si>
  <si>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</si>
  <si>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</si>
  <si>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</si>
  <si>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</si>
  <si>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</si>
  <si>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</si>
  <si>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</si>
  <si>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</si>
  <si>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</si>
  <si>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</si>
  <si>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</si>
  <si>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</si>
  <si>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</si>
  <si>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</si>
  <si>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</si>
  <si>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</si>
  <si>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</si>
  <si>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</si>
  <si>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</si>
  <si>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</si>
  <si>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</si>
  <si>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</si>
  <si>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</si>
  <si>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</si>
  <si>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</si>
  <si>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</si>
  <si>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</si>
  <si>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</si>
  <si>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</si>
  <si>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</si>
  <si>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</si>
  <si>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</si>
  <si>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</si>
  <si>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</si>
  <si>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RMI-PVC-90</t>
  </si>
  <si>
    <t>RML-CS-PL-10.5</t>
  </si>
  <si>
    <t>SFG-RTHTMTRG-BONPOC-QUILT</t>
  </si>
  <si>
    <t>SFG-RTHTMTRG-BONPOC-BP</t>
  </si>
  <si>
    <t>RTHTMTPKOPT72X33X10</t>
  </si>
  <si>
    <t>RTHTMTPKOPT72X39X10</t>
  </si>
  <si>
    <t>RTHTMTPKOPT72X45X10</t>
  </si>
  <si>
    <t>RTHTMTPKOPT72X51X10</t>
  </si>
  <si>
    <t>RTHTMTPKOPT72X54X10</t>
  </si>
  <si>
    <t>RTHTMTPKOPT72X57X10</t>
  </si>
  <si>
    <t>RTHTMTPKOPT72X63X10</t>
  </si>
  <si>
    <t>RTHTMTPKOPT72X69X10</t>
  </si>
  <si>
    <t>RTHTMTPKOPT75X33X10</t>
  </si>
  <si>
    <t>RTHTMTPKOPT75X39X10</t>
  </si>
  <si>
    <t>RTHTMTPKOPT75X45X10</t>
  </si>
  <si>
    <t>RTHTMTPKOPT75X51X10</t>
  </si>
  <si>
    <t>RTHTMTPKOPT75X54X10</t>
  </si>
  <si>
    <t>RTHTMTPKOPT75X57X10</t>
  </si>
  <si>
    <t>RTHTMTPKOPT75X63X10</t>
  </si>
  <si>
    <t>RTHTMTPKOPT75X69X10</t>
  </si>
  <si>
    <t>RTHTMTPKOPT78X33X10</t>
  </si>
  <si>
    <t>RTHTMTPKOPT78X39X10</t>
  </si>
  <si>
    <t>RTHTMTPKOPT78X45X10</t>
  </si>
  <si>
    <t>RTHTMTPKOPT78X51X10</t>
  </si>
  <si>
    <t>RTHTMTPKOPT78X54X10</t>
  </si>
  <si>
    <t>RTHTMTPKOPT78X57X10</t>
  </si>
  <si>
    <t>RTHTMTPKOPT78X63X10</t>
  </si>
  <si>
    <t>RTHTMTPKOPT78X69X10</t>
  </si>
  <si>
    <t>RTHTMTPKOPT80X33X10</t>
  </si>
  <si>
    <t>RTHTMTPKOPT80X39X10</t>
  </si>
  <si>
    <t>RTHTMTPKOPT80X45X10</t>
  </si>
  <si>
    <t>RTHTMTPKOPT80X51X10</t>
  </si>
  <si>
    <t>RTHTMTPKOPT80X54X10</t>
  </si>
  <si>
    <t>RTHTMTPKOPT80X57X10</t>
  </si>
  <si>
    <t>RTHTMTPKOPT80X63X10</t>
  </si>
  <si>
    <t>RTHTMTPKOPT80X69X10</t>
  </si>
  <si>
    <t>RTHTMTPKOPT84X33X10</t>
  </si>
  <si>
    <t>RTHTMTPKOPT84X39X10</t>
  </si>
  <si>
    <t>RTHTMTPKOPT84X45X10</t>
  </si>
  <si>
    <t>RTHTMTPKOPT84X51X10</t>
  </si>
  <si>
    <t>RTHTMTPKOPT84X54X10</t>
  </si>
  <si>
    <t>RTHTMTPKOPT84X57X10</t>
  </si>
  <si>
    <t>RTHTMTPKOPT84X63X10</t>
  </si>
  <si>
    <t>RTHTMTPKOPT84X69X10</t>
  </si>
  <si>
    <t>RTHTMTPKOPT72X30X10</t>
  </si>
  <si>
    <t>RTHTMTPKOPT72X36X10</t>
  </si>
  <si>
    <t>RTHTMTPKOPT72X42X10</t>
  </si>
  <si>
    <t>RTHTMTPKOPT72X48X10</t>
  </si>
  <si>
    <t>RTHTMTPKOPT72X60X10</t>
  </si>
  <si>
    <t>RTHTMTPKOPT72X66X10</t>
  </si>
  <si>
    <t>RTHTMTPKOPT72X72X10</t>
  </si>
  <si>
    <t>RTHTMTPKOPT75X30X10</t>
  </si>
  <si>
    <t>RTHTMTPKOPT75X36X10</t>
  </si>
  <si>
    <t>RTHTMTPKOPT75X42X10</t>
  </si>
  <si>
    <t>RTHTMTPKOPT75X48X10</t>
  </si>
  <si>
    <t>RTHTMTPKOPT75X60X10</t>
  </si>
  <si>
    <t>RTHTMTPKOPT75X66X10</t>
  </si>
  <si>
    <t>RTHTMTPKOPT75X72X10</t>
  </si>
  <si>
    <t>RTHTMTPKOPT78X30X10</t>
  </si>
  <si>
    <t>RTHTMTPKOPT78X36X10</t>
  </si>
  <si>
    <t>RTHTMTPKOPT78X42X10</t>
  </si>
  <si>
    <t>RTHTMTPKOPT78X48X10</t>
  </si>
  <si>
    <t>RTHTMTPKOPT78X60X10</t>
  </si>
  <si>
    <t>RTHTMTPKOPT78X66X10</t>
  </si>
  <si>
    <t>RTHTMTPKOPT78X72X10</t>
  </si>
  <si>
    <t>RTHTMTPKOPT80X30X10</t>
  </si>
  <si>
    <t>RTHTMTPKOPT80X36X10</t>
  </si>
  <si>
    <t>RTHTMTPKOPT80X42X10</t>
  </si>
  <si>
    <t>RTHTMTPKOPT80X48X10</t>
  </si>
  <si>
    <t>RTHTMTPKOPT80X60X10</t>
  </si>
  <si>
    <t>RTHTMTPKOPT80X66X10</t>
  </si>
  <si>
    <t>RTHTMTPKOPT80X72X10</t>
  </si>
  <si>
    <t>RTHTMTPKOPT84X30X10</t>
  </si>
  <si>
    <t>RTHTMTPKOPT84X36X10</t>
  </si>
  <si>
    <t>RTHTMTPKOPT84X42X10</t>
  </si>
  <si>
    <t>RTHTMTPKOPT84X48X10</t>
  </si>
  <si>
    <t>RTHTMTPKOPT84X60X10</t>
  </si>
  <si>
    <t>RTHTMTPKOPT84X66X10</t>
  </si>
  <si>
    <t>RTHTMTPKOPT84X72X10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</si>
  <si>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</si>
  <si>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</si>
  <si>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</si>
  <si>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</si>
  <si>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</si>
  <si>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</si>
  <si>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</si>
  <si>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</si>
  <si>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</si>
  <si>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</si>
  <si>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</si>
  <si>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</si>
  <si>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</si>
  <si>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</si>
  <si>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</si>
  <si>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</si>
  <si>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</si>
  <si>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</si>
  <si>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</si>
  <si>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</si>
  <si>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</si>
  <si>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</si>
  <si>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</si>
  <si>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</si>
  <si>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</si>
  <si>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</si>
  <si>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</si>
  <si>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</si>
  <si>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</si>
  <si>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</si>
  <si>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</si>
  <si>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</si>
  <si>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</si>
  <si>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</si>
  <si>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</si>
  <si>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</si>
  <si>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</si>
  <si>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</si>
  <si>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</si>
  <si>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</si>
  <si>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</si>
  <si>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</si>
  <si>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</si>
  <si>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</si>
  <si>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</si>
  <si>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</si>
  <si>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</si>
  <si>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</si>
  <si>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</si>
  <si>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</si>
  <si>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</si>
  <si>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</si>
  <si>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</si>
  <si>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</si>
  <si>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</si>
  <si>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</si>
  <si>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</si>
  <si>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</si>
  <si>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</si>
  <si>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</si>
  <si>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</si>
  <si>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</si>
  <si>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</si>
  <si>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</si>
  <si>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</si>
  <si>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</si>
  <si>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</si>
  <si>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</si>
  <si>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</si>
  <si>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</si>
  <si>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</si>
  <si>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</si>
  <si>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</si>
  <si>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</si>
  <si>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</si>
  <si>
    <t>60D-MAT-RB-FOAM-67X28X15MM</t>
  </si>
  <si>
    <t>60D-MAT-RB-FOAM-67X34X15MM</t>
  </si>
  <si>
    <t>60D-MAT-RB-FOAM-67X40X15MM</t>
  </si>
  <si>
    <t>60D-MAT-RB-FOAM-67X46X15MM</t>
  </si>
  <si>
    <t>60D-MAT-RB-FOAM-67X49X15MM</t>
  </si>
  <si>
    <t>60D-MAT-RB-FOAM-67X52X15MM</t>
  </si>
  <si>
    <t>60D-MAT-RB-FOAM-67X58X15MM</t>
  </si>
  <si>
    <t>60D-MAT-RB-FOAM-67X64X15MM</t>
  </si>
  <si>
    <t>60D-MAT-RB-FOAM-70X28X15MM</t>
  </si>
  <si>
    <t>60D-MAT-RB-FOAM-70X34X15MM</t>
  </si>
  <si>
    <t>60D-MAT-RB-FOAM-70X40X15MM</t>
  </si>
  <si>
    <t>60D-MAT-RB-FOAM-70X46X15MM</t>
  </si>
  <si>
    <t>60D-MAT-RB-FOAM-70X49X15MM</t>
  </si>
  <si>
    <t>60D-MAT-RB-FOAM-70X52X15MM</t>
  </si>
  <si>
    <t>60D-MAT-RB-FOAM-70X58X15MM</t>
  </si>
  <si>
    <t>60D-MAT-RB-FOAM-70X64X15MM</t>
  </si>
  <si>
    <t>60D-MAT-RB-FOAM-73X28X15MM</t>
  </si>
  <si>
    <t>60D-MAT-RB-FOAM-73X34X15MM</t>
  </si>
  <si>
    <t>60D-MAT-RB-FOAM-73X40X15MM</t>
  </si>
  <si>
    <t>60D-MAT-RB-FOAM-73X46X15MM</t>
  </si>
  <si>
    <t>60D-MAT-RB-FOAM-73X49X15MM</t>
  </si>
  <si>
    <t>60D-MAT-RB-FOAM-73X52X15MM</t>
  </si>
  <si>
    <t>60D-MAT-RB-FOAM-73X58X15MM</t>
  </si>
  <si>
    <t>60D-MAT-RB-FOAM-73X64X15MM</t>
  </si>
  <si>
    <t>60D-MAT-RB-FOAM-75X28X15MM</t>
  </si>
  <si>
    <t>60D-MAT-RB-FOAM-75X34X15MM</t>
  </si>
  <si>
    <t>60D-MAT-RB-FOAM-75X40X15MM</t>
  </si>
  <si>
    <t>60D-MAT-RB-FOAM-75X46X15MM</t>
  </si>
  <si>
    <t>60D-MAT-RB-FOAM-75X49X15MM</t>
  </si>
  <si>
    <t>60D-MAT-RB-FOAM-75X52X15MM</t>
  </si>
  <si>
    <t>60D-MAT-RB-FOAM-75X58X15MM</t>
  </si>
  <si>
    <t>60D-MAT-RB-FOAM-75X64X15MM</t>
  </si>
  <si>
    <t>60D-MAT-RB-FOAM-79X28X15MM</t>
  </si>
  <si>
    <t>60D-MAT-RB-FOAM-79X34X15MM</t>
  </si>
  <si>
    <t>60D-MAT-RB-FOAM-79X40X15MM</t>
  </si>
  <si>
    <t>60D-MAT-RB-FOAM-79X46X15MM</t>
  </si>
  <si>
    <t>60D-MAT-RB-FOAM-79X49X15MM</t>
  </si>
  <si>
    <t>60D-MAT-RB-FOAM-79X52X15MM</t>
  </si>
  <si>
    <t>60D-MAT-RB-FOAM-79X58X15MM</t>
  </si>
  <si>
    <t>60D-MAT-RB-FOAM-79X64X15MM</t>
  </si>
  <si>
    <t>60D-MAT-RB-FOAM-67X25X15MM</t>
  </si>
  <si>
    <t>60D-MAT-RB-FOAM-67X31X15MM</t>
  </si>
  <si>
    <t>60D-MAT-RB-FOAM-67X37X15MM</t>
  </si>
  <si>
    <t>60D-MAT-RB-FOAM-67X43X15MM</t>
  </si>
  <si>
    <t>60D-MAT-RB-FOAM-67X55X15MM</t>
  </si>
  <si>
    <t>60D-MAT-RB-FOAM-67X61X15MM</t>
  </si>
  <si>
    <t>60D-MAT-RB-FOAM-67X67X15MM</t>
  </si>
  <si>
    <t>60D-MAT-RB-FOAM-70X25X15MM</t>
  </si>
  <si>
    <t>60D-MAT-RB-FOAM-70X31X15MM</t>
  </si>
  <si>
    <t>60D-MAT-RB-FOAM-70X37X15MM</t>
  </si>
  <si>
    <t>60D-MAT-RB-FOAM-70X43X15MM</t>
  </si>
  <si>
    <t>60D-MAT-RB-FOAM-70X55X15MM</t>
  </si>
  <si>
    <t>60D-MAT-RB-FOAM-70X61X15MM</t>
  </si>
  <si>
    <t>60D-MAT-RB-FOAM-70X67X15MM</t>
  </si>
  <si>
    <t>60D-MAT-RB-FOAM-73X25X15MM</t>
  </si>
  <si>
    <t>60D-MAT-RB-FOAM-73X31X15MM</t>
  </si>
  <si>
    <t>60D-MAT-RB-FOAM-73X37X15MM</t>
  </si>
  <si>
    <t>60D-MAT-RB-FOAM-73X43X15MM</t>
  </si>
  <si>
    <t>60D-MAT-RB-FOAM-73X55X15MM</t>
  </si>
  <si>
    <t>60D-MAT-RB-FOAM-73X61X15MM</t>
  </si>
  <si>
    <t>60D-MAT-RB-FOAM-73X67X15MM</t>
  </si>
  <si>
    <t>60D-MAT-RB-FOAM-75X25X15MM</t>
  </si>
  <si>
    <t>60D-MAT-RB-FOAM-75X31X15MM</t>
  </si>
  <si>
    <t>60D-MAT-RB-FOAM-75X37X15MM</t>
  </si>
  <si>
    <t>60D-MAT-RB-FOAM-75X43X15MM</t>
  </si>
  <si>
    <t>60D-MAT-RB-FOAM-75X55X15MM</t>
  </si>
  <si>
    <t>60D-MAT-RB-FOAM-75X61X15MM</t>
  </si>
  <si>
    <t>60D-MAT-RB-FOAM-75X67X15MM</t>
  </si>
  <si>
    <t>60D-MAT-RB-FOAM-79X25X15MM</t>
  </si>
  <si>
    <t>60D-MAT-RB-FOAM-79X31X15MM</t>
  </si>
  <si>
    <t>60D-MAT-RB-FOAM-79X37X15MM</t>
  </si>
  <si>
    <t>60D-MAT-RB-FOAM-79X43X15MM</t>
  </si>
  <si>
    <t>60D-MAT-RB-FOAM-79X55X15MM</t>
  </si>
  <si>
    <t>60D-MAT-RB-FOAM-79X61X15MM</t>
  </si>
  <si>
    <t>60D-MAT-RB-FOAM-79X67X15MM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</si>
</sst>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1" sqref="E11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2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86</v>
      </c>
      <c r="S1" s="33" t="s">
        <v>87</v>
      </c>
      <c r="T1" s="33" t="s">
        <v>88</v>
      </c>
      <c r="U1" s="33" t="s">
        <v>10</v>
      </c>
    </row>
    <row r="2" spans="1:21" x14ac:dyDescent="0.25">
      <c r="A2" s="31">
        <v>1</v>
      </c>
      <c r="B2" s="7" t="s">
        <v>12</v>
      </c>
      <c r="C2" s="7" t="s">
        <v>12</v>
      </c>
      <c r="D2" s="7" t="str">
        <f>"RTHTMTPKOPT"&amp;$K$2&amp;"X"&amp;$L$2&amp;"X"&amp;IF($M$2=10,$M$2,"0"&amp;$M$2)</f>
        <v>RTHTMTPKOPT75X36X10</v>
      </c>
      <c r="E2" s="1" t="str">
        <f>"OEPKBOXSR"&amp;(K2-0.5)&amp;"0"&amp;"X"&amp;(L2-0.5)&amp;"0"&amp;"X"&amp;IF(M2=6,"110",IF(M2=8,"160",IF(M2=10,"220",0)))</f>
        <v>OEPKBOXSR74.50X35.50X220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2">
        <v>10</v>
      </c>
      <c r="N2" s="6"/>
      <c r="P2" s="4" t="s">
        <v>91</v>
      </c>
      <c r="R2" s="29" t="s">
        <v>92</v>
      </c>
      <c r="S2" s="29" t="s">
        <v>93</v>
      </c>
      <c r="T2" s="29">
        <v>10</v>
      </c>
      <c r="U2" s="30" t="s">
        <v>108</v>
      </c>
    </row>
    <row r="3" spans="1:21" s="17" customFormat="1" x14ac:dyDescent="0.25">
      <c r="A3" s="31">
        <v>2</v>
      </c>
      <c r="B3" s="7" t="s">
        <v>17</v>
      </c>
      <c r="C3" s="7" t="s">
        <v>17</v>
      </c>
      <c r="D3" s="7" t="str">
        <f t="shared" ref="D3:D14" si="1">"RTHTMTPKOPT"&amp;$K$2&amp;"X"&amp;$L$2&amp;"X"&amp;IF($M$2=10,$M$2,"0"&amp;$M$2)</f>
        <v>RTHTMTPKOPT75X36X10</v>
      </c>
      <c r="E3" s="37" t="s">
        <v>111</v>
      </c>
      <c r="F3" s="11" t="s">
        <v>15</v>
      </c>
      <c r="G3" s="10">
        <f>IF(K2&lt;79,(L2+1),IF(L2&lt;37,(K2+1),(K2+1)))*0.0254</f>
        <v>0.93979999999999997</v>
      </c>
      <c r="H3" s="10">
        <f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10</v>
      </c>
      <c r="U3" s="30" t="s">
        <v>108</v>
      </c>
    </row>
    <row r="4" spans="1:21" x14ac:dyDescent="0.25">
      <c r="A4" s="31">
        <v>3</v>
      </c>
      <c r="B4" s="7" t="s">
        <v>17</v>
      </c>
      <c r="C4" s="7" t="s">
        <v>17</v>
      </c>
      <c r="D4" s="7" t="str">
        <f t="shared" si="1"/>
        <v>RTHTMTPKOPT75X36X10</v>
      </c>
      <c r="E4" s="38" t="s">
        <v>112</v>
      </c>
      <c r="F4" s="11" t="s">
        <v>15</v>
      </c>
      <c r="G4" s="15">
        <f>IF(K2&lt;79,(L2+1),IF(L2&lt;37,(K2+1),(K2+1)))*0.0254</f>
        <v>0.93979999999999997</v>
      </c>
      <c r="H4" s="10">
        <f t="shared" ref="H4" si="2">ROUND(G4,3)</f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10</v>
      </c>
      <c r="U4" s="30" t="s">
        <v>108</v>
      </c>
    </row>
    <row r="5" spans="1:21" x14ac:dyDescent="0.25">
      <c r="A5" s="31">
        <v>4</v>
      </c>
      <c r="B5" s="7" t="s">
        <v>19</v>
      </c>
      <c r="C5" s="7" t="s">
        <v>19</v>
      </c>
      <c r="D5" s="7" t="str">
        <f t="shared" si="1"/>
        <v>RTHTMTPKOPT75X36X10</v>
      </c>
      <c r="E5" s="34" t="s">
        <v>105</v>
      </c>
      <c r="F5" s="8" t="s">
        <v>106</v>
      </c>
      <c r="G5" s="10">
        <f>((K2-5)*(L2-5)/144)*0.00729*6</f>
        <v>0.65913749999999993</v>
      </c>
      <c r="H5" s="10">
        <f t="shared" ref="H5:H14" si="3">ROUND(G5,3)</f>
        <v>0.65900000000000003</v>
      </c>
      <c r="I5" s="8" t="s">
        <v>14</v>
      </c>
      <c r="J5" s="12"/>
      <c r="O5" s="17"/>
      <c r="R5" s="29" t="s">
        <v>92</v>
      </c>
      <c r="S5" s="29" t="s">
        <v>96</v>
      </c>
      <c r="T5" s="29">
        <v>10</v>
      </c>
      <c r="U5" s="30" t="s">
        <v>108</v>
      </c>
    </row>
    <row r="6" spans="1:21" x14ac:dyDescent="0.25">
      <c r="A6" s="31">
        <v>5</v>
      </c>
      <c r="B6" s="7" t="s">
        <v>17</v>
      </c>
      <c r="C6" s="7" t="s">
        <v>17</v>
      </c>
      <c r="D6" s="7" t="str">
        <f t="shared" si="1"/>
        <v>RTHTMTPKOPT75X36X10</v>
      </c>
      <c r="E6" s="35" t="s">
        <v>18</v>
      </c>
      <c r="F6" s="11" t="s">
        <v>15</v>
      </c>
      <c r="G6" s="10">
        <f>(K2+L2+1.5)*4*0.0254*8</f>
        <v>91.44</v>
      </c>
      <c r="H6" s="10">
        <f t="shared" si="3"/>
        <v>91.44</v>
      </c>
      <c r="I6" s="8" t="s">
        <v>14</v>
      </c>
      <c r="J6" s="12"/>
      <c r="R6" s="29" t="s">
        <v>92</v>
      </c>
      <c r="S6" s="29" t="s">
        <v>97</v>
      </c>
      <c r="T6" s="29">
        <v>10</v>
      </c>
      <c r="U6" s="30" t="s">
        <v>108</v>
      </c>
    </row>
    <row r="7" spans="1:21" x14ac:dyDescent="0.25">
      <c r="A7" s="31">
        <v>6</v>
      </c>
      <c r="B7" s="7" t="s">
        <v>19</v>
      </c>
      <c r="C7" s="7" t="s">
        <v>19</v>
      </c>
      <c r="D7" s="7" t="str">
        <f t="shared" si="1"/>
        <v>RTHTMTPKOPT75X36X10</v>
      </c>
      <c r="E7" s="35" t="s">
        <v>107</v>
      </c>
      <c r="F7" s="11" t="s">
        <v>15</v>
      </c>
      <c r="G7" s="10">
        <f>(K2+L2+4)*2*0.0254*4</f>
        <v>23.367999999999999</v>
      </c>
      <c r="H7" s="10">
        <f t="shared" si="3"/>
        <v>23.367999999999999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10</v>
      </c>
      <c r="U7" s="30" t="s">
        <v>108</v>
      </c>
    </row>
    <row r="8" spans="1:21" x14ac:dyDescent="0.25">
      <c r="A8" s="31">
        <v>7</v>
      </c>
      <c r="B8" s="7" t="s">
        <v>19</v>
      </c>
      <c r="C8" s="7" t="s">
        <v>19</v>
      </c>
      <c r="D8" s="7" t="str">
        <f t="shared" si="1"/>
        <v>RTHTMTPKOPT75X36X10</v>
      </c>
      <c r="E8" s="35" t="s">
        <v>18</v>
      </c>
      <c r="F8" s="11" t="s">
        <v>15</v>
      </c>
      <c r="G8" s="10">
        <f>(K2+L2+4)*2*0.0254*(4.73+1.42)*4</f>
        <v>143.7132</v>
      </c>
      <c r="H8" s="10">
        <f t="shared" si="3"/>
        <v>143.71299999999999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10</v>
      </c>
      <c r="U8" s="30" t="s">
        <v>108</v>
      </c>
    </row>
    <row r="9" spans="1:21" x14ac:dyDescent="0.25">
      <c r="A9" s="31">
        <v>8</v>
      </c>
      <c r="B9" s="7" t="s">
        <v>20</v>
      </c>
      <c r="C9" s="35" t="s">
        <v>20</v>
      </c>
      <c r="D9" s="7" t="str">
        <f t="shared" si="1"/>
        <v>RTHTMTPKOPT75X36X10</v>
      </c>
      <c r="E9" s="35" t="s">
        <v>110</v>
      </c>
      <c r="F9" s="11" t="s">
        <v>11</v>
      </c>
      <c r="G9" s="10">
        <v>4</v>
      </c>
      <c r="H9" s="10">
        <f t="shared" si="3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10</v>
      </c>
      <c r="U9" s="30" t="s">
        <v>108</v>
      </c>
    </row>
    <row r="10" spans="1:21" x14ac:dyDescent="0.25">
      <c r="A10" s="31">
        <v>9</v>
      </c>
      <c r="B10" s="7" t="s">
        <v>19</v>
      </c>
      <c r="C10" s="7" t="s">
        <v>19</v>
      </c>
      <c r="D10" s="7" t="str">
        <f t="shared" si="1"/>
        <v>RTHTMTPKOPT75X36X10</v>
      </c>
      <c r="E10" s="35" t="s">
        <v>21</v>
      </c>
      <c r="F10" s="11" t="s">
        <v>11</v>
      </c>
      <c r="G10" s="10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10</v>
      </c>
      <c r="U10" s="30" t="s">
        <v>108</v>
      </c>
    </row>
    <row r="11" spans="1:21" x14ac:dyDescent="0.25">
      <c r="A11" s="31">
        <v>10</v>
      </c>
      <c r="B11" s="7" t="s">
        <v>20</v>
      </c>
      <c r="C11" s="35" t="s">
        <v>20</v>
      </c>
      <c r="D11" s="7" t="str">
        <f t="shared" si="1"/>
        <v>RTHTMTPKOPT75X36X10</v>
      </c>
      <c r="E11" s="35" t="s">
        <v>22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10</v>
      </c>
      <c r="U11" s="30" t="s">
        <v>108</v>
      </c>
    </row>
    <row r="12" spans="1:21" x14ac:dyDescent="0.25">
      <c r="A12" s="31">
        <v>11</v>
      </c>
      <c r="B12" s="7" t="s">
        <v>20</v>
      </c>
      <c r="C12" s="35" t="s">
        <v>20</v>
      </c>
      <c r="D12" s="7" t="str">
        <f t="shared" si="1"/>
        <v>RTHTMTPKOPT75X36X10</v>
      </c>
      <c r="E12" s="35" t="s">
        <v>23</v>
      </c>
      <c r="F12" s="11" t="s">
        <v>11</v>
      </c>
      <c r="G12" s="14">
        <v>1</v>
      </c>
      <c r="H12" s="10">
        <f t="shared" si="3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10</v>
      </c>
      <c r="U12" s="30" t="s">
        <v>108</v>
      </c>
    </row>
    <row r="13" spans="1:21" x14ac:dyDescent="0.25">
      <c r="A13" s="31">
        <v>12</v>
      </c>
      <c r="B13" s="7" t="s">
        <v>20</v>
      </c>
      <c r="C13" s="9" t="s">
        <v>20</v>
      </c>
      <c r="D13" s="7" t="str">
        <f t="shared" si="1"/>
        <v>RTHTMTPKOPT75X36X10</v>
      </c>
      <c r="E13" s="9" t="s">
        <v>109</v>
      </c>
      <c r="F13" s="11" t="s">
        <v>13</v>
      </c>
      <c r="G13" s="10">
        <f>IF(K2&lt;76,((L2*2)+(M2*2)+4),((K2*2)+(M2*2)+4))*0.0254*89.5*0.0254*0.00009*1300</f>
        <v>0.64855612223999992</v>
      </c>
      <c r="H13" s="10">
        <f t="shared" si="3"/>
        <v>0.64900000000000002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10</v>
      </c>
      <c r="U13" s="30" t="s">
        <v>108</v>
      </c>
    </row>
    <row r="14" spans="1:21" x14ac:dyDescent="0.25">
      <c r="A14" s="31">
        <v>13</v>
      </c>
      <c r="B14" s="7" t="s">
        <v>19</v>
      </c>
      <c r="C14" s="7" t="s">
        <v>19</v>
      </c>
      <c r="D14" s="7" t="str">
        <f t="shared" si="1"/>
        <v>RTHTMTPKOPT75X36X10</v>
      </c>
      <c r="E14" s="36" t="str">
        <f>"60D-MAT-RB-FOAM-"&amp;(K2-5)&amp;"X"&amp;(L2-5)&amp;"X15MM"</f>
        <v>60D-MAT-RB-FOAM-70X31X15MM</v>
      </c>
      <c r="F14" s="8" t="s">
        <v>11</v>
      </c>
      <c r="G14" s="14">
        <v>1</v>
      </c>
      <c r="H14" s="10">
        <f t="shared" si="3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10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10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10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10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10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10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10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10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10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10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10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10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10</v>
      </c>
      <c r="U26" s="30" t="s">
        <v>108</v>
      </c>
    </row>
    <row r="27" spans="5:21" x14ac:dyDescent="0.25">
      <c r="E27" s="19"/>
      <c r="I27" s="19"/>
      <c r="N27"/>
      <c r="O27"/>
      <c r="R27" s="29" t="s">
        <v>103</v>
      </c>
      <c r="S27" s="29" t="s">
        <v>94</v>
      </c>
      <c r="T27" s="29">
        <v>10</v>
      </c>
      <c r="U27" s="30" t="s">
        <v>108</v>
      </c>
    </row>
    <row r="28" spans="5:21" x14ac:dyDescent="0.25">
      <c r="E28" s="19"/>
      <c r="M28" s="19"/>
      <c r="N28"/>
      <c r="O28"/>
      <c r="R28" s="29" t="s">
        <v>103</v>
      </c>
      <c r="S28" s="29" t="s">
        <v>95</v>
      </c>
      <c r="T28" s="29">
        <v>10</v>
      </c>
      <c r="U28" s="30" t="s">
        <v>108</v>
      </c>
    </row>
    <row r="29" spans="5:21" x14ac:dyDescent="0.25">
      <c r="H29" s="19"/>
      <c r="N29"/>
      <c r="O29"/>
      <c r="R29" s="29" t="s">
        <v>103</v>
      </c>
      <c r="S29" s="29" t="s">
        <v>96</v>
      </c>
      <c r="T29" s="29">
        <v>10</v>
      </c>
      <c r="U29" s="30" t="s">
        <v>108</v>
      </c>
    </row>
    <row r="30" spans="5:21" x14ac:dyDescent="0.25">
      <c r="N30"/>
      <c r="O30"/>
      <c r="R30" s="29" t="s">
        <v>103</v>
      </c>
      <c r="S30" s="29" t="s">
        <v>97</v>
      </c>
      <c r="T30" s="29">
        <v>10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10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10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10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10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10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10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10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10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10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10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10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10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10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10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10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10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10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10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10</v>
      </c>
      <c r="U49" s="30"/>
    </row>
    <row r="50" spans="14:21" x14ac:dyDescent="0.25">
      <c r="R50" s="29">
        <v>75</v>
      </c>
      <c r="S50" s="29">
        <v>36</v>
      </c>
      <c r="T50" s="29">
        <v>10</v>
      </c>
      <c r="U50" s="30"/>
    </row>
    <row r="51" spans="14:21" x14ac:dyDescent="0.25">
      <c r="R51" s="29">
        <v>75</v>
      </c>
      <c r="S51" s="29">
        <v>42</v>
      </c>
      <c r="T51" s="29">
        <v>10</v>
      </c>
      <c r="U51" s="30"/>
    </row>
    <row r="52" spans="14:21" x14ac:dyDescent="0.25">
      <c r="R52" s="29">
        <v>75</v>
      </c>
      <c r="S52" s="29">
        <v>48</v>
      </c>
      <c r="T52" s="29">
        <v>10</v>
      </c>
      <c r="U52" s="30"/>
    </row>
    <row r="53" spans="14:21" x14ac:dyDescent="0.25">
      <c r="R53" s="29">
        <v>75</v>
      </c>
      <c r="S53" s="29">
        <v>60</v>
      </c>
      <c r="T53" s="29">
        <v>10</v>
      </c>
      <c r="U53" s="30"/>
    </row>
    <row r="54" spans="14:21" x14ac:dyDescent="0.25">
      <c r="R54" s="29">
        <v>75</v>
      </c>
      <c r="S54" s="29">
        <v>66</v>
      </c>
      <c r="T54" s="29">
        <v>10</v>
      </c>
      <c r="U54" s="30"/>
    </row>
    <row r="55" spans="14:21" x14ac:dyDescent="0.25">
      <c r="R55" s="29">
        <v>75</v>
      </c>
      <c r="S55" s="29">
        <v>72</v>
      </c>
      <c r="T55" s="29">
        <v>10</v>
      </c>
      <c r="U55" s="30"/>
    </row>
    <row r="56" spans="14:21" x14ac:dyDescent="0.25">
      <c r="R56" s="29">
        <v>78</v>
      </c>
      <c r="S56" s="29">
        <v>30</v>
      </c>
      <c r="T56" s="29">
        <v>10</v>
      </c>
      <c r="U56" s="30"/>
    </row>
    <row r="57" spans="14:21" x14ac:dyDescent="0.25">
      <c r="R57" s="29">
        <v>78</v>
      </c>
      <c r="S57" s="29">
        <v>36</v>
      </c>
      <c r="T57" s="29">
        <v>10</v>
      </c>
      <c r="U57" s="30"/>
    </row>
    <row r="58" spans="14:21" x14ac:dyDescent="0.25">
      <c r="R58" s="29">
        <v>78</v>
      </c>
      <c r="S58" s="29">
        <v>42</v>
      </c>
      <c r="T58" s="29">
        <v>10</v>
      </c>
      <c r="U58" s="30"/>
    </row>
    <row r="59" spans="14:21" x14ac:dyDescent="0.25">
      <c r="R59" s="29">
        <v>78</v>
      </c>
      <c r="S59" s="29">
        <v>48</v>
      </c>
      <c r="T59" s="29">
        <v>10</v>
      </c>
      <c r="U59" s="30"/>
    </row>
    <row r="60" spans="14:21" x14ac:dyDescent="0.25">
      <c r="R60" s="29">
        <v>78</v>
      </c>
      <c r="S60" s="29">
        <v>60</v>
      </c>
      <c r="T60" s="29">
        <v>10</v>
      </c>
      <c r="U60" s="30"/>
    </row>
    <row r="61" spans="14:21" x14ac:dyDescent="0.25">
      <c r="R61" s="29">
        <v>78</v>
      </c>
      <c r="S61" s="29">
        <v>66</v>
      </c>
      <c r="T61" s="29">
        <v>10</v>
      </c>
      <c r="U61" s="30"/>
    </row>
    <row r="62" spans="14:21" x14ac:dyDescent="0.25">
      <c r="R62" s="29">
        <v>78</v>
      </c>
      <c r="S62" s="29">
        <v>72</v>
      </c>
      <c r="T62" s="29">
        <v>10</v>
      </c>
      <c r="U62" s="30"/>
    </row>
    <row r="63" spans="14:21" x14ac:dyDescent="0.25">
      <c r="R63" s="29">
        <v>80</v>
      </c>
      <c r="S63" s="29">
        <v>30</v>
      </c>
      <c r="T63" s="29">
        <v>10</v>
      </c>
      <c r="U63" s="30"/>
    </row>
    <row r="64" spans="14:21" x14ac:dyDescent="0.25">
      <c r="R64" s="29">
        <v>80</v>
      </c>
      <c r="S64" s="29">
        <v>36</v>
      </c>
      <c r="T64" s="29">
        <v>10</v>
      </c>
      <c r="U64" s="30"/>
    </row>
    <row r="65" spans="18:21" x14ac:dyDescent="0.25">
      <c r="R65" s="29">
        <v>80</v>
      </c>
      <c r="S65" s="29">
        <v>42</v>
      </c>
      <c r="T65" s="29">
        <v>10</v>
      </c>
      <c r="U65" s="30"/>
    </row>
    <row r="66" spans="18:21" x14ac:dyDescent="0.25">
      <c r="R66" s="29">
        <v>80</v>
      </c>
      <c r="S66" s="29">
        <v>48</v>
      </c>
      <c r="T66" s="29">
        <v>10</v>
      </c>
      <c r="U66" s="30"/>
    </row>
    <row r="67" spans="18:21" x14ac:dyDescent="0.25">
      <c r="R67" s="29">
        <v>80</v>
      </c>
      <c r="S67" s="29">
        <v>60</v>
      </c>
      <c r="T67" s="29">
        <v>10</v>
      </c>
      <c r="U67" s="30"/>
    </row>
    <row r="68" spans="18:21" x14ac:dyDescent="0.25">
      <c r="R68" s="29">
        <v>80</v>
      </c>
      <c r="S68" s="29">
        <v>66</v>
      </c>
      <c r="T68" s="29">
        <v>10</v>
      </c>
      <c r="U68" s="30"/>
    </row>
    <row r="69" spans="18:21" x14ac:dyDescent="0.25">
      <c r="R69" s="29">
        <v>80</v>
      </c>
      <c r="S69" s="29">
        <v>72</v>
      </c>
      <c r="T69" s="29">
        <v>10</v>
      </c>
      <c r="U69" s="30"/>
    </row>
    <row r="70" spans="18:21" x14ac:dyDescent="0.25">
      <c r="R70" s="29">
        <v>84</v>
      </c>
      <c r="S70" s="29">
        <v>30</v>
      </c>
      <c r="T70" s="29">
        <v>10</v>
      </c>
      <c r="U70" s="30"/>
    </row>
    <row r="71" spans="18:21" x14ac:dyDescent="0.25">
      <c r="R71" s="29">
        <v>84</v>
      </c>
      <c r="S71" s="29">
        <v>36</v>
      </c>
      <c r="T71" s="29">
        <v>10</v>
      </c>
      <c r="U71" s="30"/>
    </row>
    <row r="72" spans="18:21" x14ac:dyDescent="0.25">
      <c r="R72" s="29">
        <v>84</v>
      </c>
      <c r="S72" s="29">
        <v>42</v>
      </c>
      <c r="T72" s="29">
        <v>10</v>
      </c>
      <c r="U72" s="30"/>
    </row>
    <row r="73" spans="18:21" x14ac:dyDescent="0.25">
      <c r="R73" s="29">
        <v>84</v>
      </c>
      <c r="S73" s="29">
        <v>48</v>
      </c>
      <c r="T73" s="29">
        <v>10</v>
      </c>
      <c r="U73" s="30"/>
    </row>
    <row r="74" spans="18:21" x14ac:dyDescent="0.25">
      <c r="R74" s="29">
        <v>84</v>
      </c>
      <c r="S74" s="29">
        <v>60</v>
      </c>
      <c r="T74" s="29">
        <v>10</v>
      </c>
      <c r="U74" s="30"/>
    </row>
    <row r="75" spans="18:21" x14ac:dyDescent="0.25">
      <c r="R75" s="29">
        <v>84</v>
      </c>
      <c r="S75" s="29">
        <v>66</v>
      </c>
      <c r="T75" s="29">
        <v>10</v>
      </c>
      <c r="U75" s="30"/>
    </row>
    <row r="76" spans="18:21" x14ac:dyDescent="0.25">
      <c r="R76" s="29">
        <v>84</v>
      </c>
      <c r="S76" s="29">
        <v>72</v>
      </c>
      <c r="T76" s="29">
        <v>10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188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111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0.56999999999999995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86.563000000000002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22.149000000000001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136.215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110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109</v>
      </c>
      <c r="E13" t="s">
        <v>13</v>
      </c>
      <c r="F13">
        <v>0.60799999999999998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263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189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111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105</v>
      </c>
      <c r="E18" t="s">
        <v>106</v>
      </c>
      <c r="F18">
        <v>0.69199999999999995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18</v>
      </c>
      <c r="E19" t="s">
        <v>15</v>
      </c>
      <c r="F19">
        <v>91.44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23.367999999999999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143.71299999999999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110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109</v>
      </c>
      <c r="E26" t="s">
        <v>13</v>
      </c>
      <c r="F26">
        <v>0.68899999999999995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264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190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111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105</v>
      </c>
      <c r="E31" t="s">
        <v>106</v>
      </c>
      <c r="F31">
        <v>0.81399999999999995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18</v>
      </c>
      <c r="E32" t="s">
        <v>15</v>
      </c>
      <c r="F32">
        <v>96.316999999999993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24.587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151.21100000000001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110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109</v>
      </c>
      <c r="E39" t="s">
        <v>13</v>
      </c>
      <c r="F39">
        <v>0.77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265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191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111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105</v>
      </c>
      <c r="E44" t="s">
        <v>106</v>
      </c>
      <c r="F44">
        <v>0.93600000000000005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18</v>
      </c>
      <c r="E45" t="s">
        <v>15</v>
      </c>
      <c r="F45">
        <v>101.194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25.806000000000001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158.709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110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109</v>
      </c>
      <c r="E52" t="s">
        <v>13</v>
      </c>
      <c r="F52">
        <v>0.85099999999999998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266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192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111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105</v>
      </c>
      <c r="E57" t="s">
        <v>106</v>
      </c>
      <c r="F57">
        <v>0.997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18</v>
      </c>
      <c r="E58" t="s">
        <v>15</v>
      </c>
      <c r="F58">
        <v>103.63200000000001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26.416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162.458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110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109</v>
      </c>
      <c r="E65" t="s">
        <v>13</v>
      </c>
      <c r="F65">
        <v>0.89200000000000002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267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193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111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105</v>
      </c>
      <c r="E70" t="s">
        <v>106</v>
      </c>
      <c r="F70">
        <v>1.0580000000000001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18</v>
      </c>
      <c r="E71" t="s">
        <v>15</v>
      </c>
      <c r="F71">
        <v>106.07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27.026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166.20699999999999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110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109</v>
      </c>
      <c r="E78" t="s">
        <v>13</v>
      </c>
      <c r="F78">
        <v>0.93200000000000005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268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194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111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105</v>
      </c>
      <c r="E83" t="s">
        <v>106</v>
      </c>
      <c r="F83">
        <v>1.18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18</v>
      </c>
      <c r="E84" t="s">
        <v>15</v>
      </c>
      <c r="F84">
        <v>110.947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28.245000000000001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173.70599999999999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110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109</v>
      </c>
      <c r="E91" t="s">
        <v>13</v>
      </c>
      <c r="F91">
        <v>1.0129999999999999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269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195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111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105</v>
      </c>
      <c r="E96" t="s">
        <v>106</v>
      </c>
      <c r="F96">
        <v>1.302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18</v>
      </c>
      <c r="E97" t="s">
        <v>15</v>
      </c>
      <c r="F97">
        <v>115.824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29.463999999999999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181.20400000000001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110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109</v>
      </c>
      <c r="E104" t="s">
        <v>13</v>
      </c>
      <c r="F104">
        <v>1.0940000000000001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270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196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111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105</v>
      </c>
      <c r="E109" t="s">
        <v>106</v>
      </c>
      <c r="F109">
        <v>0.59499999999999997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18</v>
      </c>
      <c r="E110" t="s">
        <v>15</v>
      </c>
      <c r="F110">
        <v>89.001999999999995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22.757999999999999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139.964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110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109</v>
      </c>
      <c r="E117" t="s">
        <v>13</v>
      </c>
      <c r="F117">
        <v>0.60799999999999998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271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197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111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105</v>
      </c>
      <c r="E122" t="s">
        <v>106</v>
      </c>
      <c r="F122">
        <v>0.72299999999999998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18</v>
      </c>
      <c r="E123" t="s">
        <v>15</v>
      </c>
      <c r="F123">
        <v>93.878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23.978000000000002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147.46199999999999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110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109</v>
      </c>
      <c r="E130" t="s">
        <v>13</v>
      </c>
      <c r="F130">
        <v>0.68899999999999995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272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198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111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105</v>
      </c>
      <c r="E135" t="s">
        <v>106</v>
      </c>
      <c r="F135">
        <v>0.85099999999999998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18</v>
      </c>
      <c r="E136" t="s">
        <v>15</v>
      </c>
      <c r="F136">
        <v>98.754999999999995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25.196999999999999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154.96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110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109</v>
      </c>
      <c r="E143" t="s">
        <v>13</v>
      </c>
      <c r="F143">
        <v>0.77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273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199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111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105</v>
      </c>
      <c r="E148" t="s">
        <v>106</v>
      </c>
      <c r="F148">
        <v>0.97799999999999998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18</v>
      </c>
      <c r="E149" t="s">
        <v>15</v>
      </c>
      <c r="F149">
        <v>103.63200000000001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26.416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162.458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110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109</v>
      </c>
      <c r="E156" t="s">
        <v>13</v>
      </c>
      <c r="F156">
        <v>0.85099999999999998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274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200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111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105</v>
      </c>
      <c r="E161" t="s">
        <v>106</v>
      </c>
      <c r="F161">
        <v>1.042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18</v>
      </c>
      <c r="E162" t="s">
        <v>15</v>
      </c>
      <c r="F162">
        <v>106.07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27.026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166.20699999999999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110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109</v>
      </c>
      <c r="E169" t="s">
        <v>13</v>
      </c>
      <c r="F169">
        <v>0.89200000000000002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275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201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111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105</v>
      </c>
      <c r="E174" t="s">
        <v>106</v>
      </c>
      <c r="F174">
        <v>1.1060000000000001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18</v>
      </c>
      <c r="E175" t="s">
        <v>15</v>
      </c>
      <c r="F175">
        <v>108.509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27.635000000000002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169.95599999999999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110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109</v>
      </c>
      <c r="E182" t="s">
        <v>13</v>
      </c>
      <c r="F182">
        <v>0.93200000000000005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276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202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111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105</v>
      </c>
      <c r="E187" t="s">
        <v>106</v>
      </c>
      <c r="F187">
        <v>1.2330000000000001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18</v>
      </c>
      <c r="E188" t="s">
        <v>15</v>
      </c>
      <c r="F188">
        <v>113.386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28.853999999999999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177.45500000000001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110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109</v>
      </c>
      <c r="E195" t="s">
        <v>13</v>
      </c>
      <c r="F195">
        <v>1.0129999999999999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277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203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111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105</v>
      </c>
      <c r="E200" t="s">
        <v>106</v>
      </c>
      <c r="F200">
        <v>1.361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18</v>
      </c>
      <c r="E201" t="s">
        <v>15</v>
      </c>
      <c r="F201">
        <v>118.262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30.074000000000002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184.953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110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109</v>
      </c>
      <c r="E208" t="s">
        <v>13</v>
      </c>
      <c r="F208">
        <v>1.0940000000000001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278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204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111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105</v>
      </c>
      <c r="E213" t="s">
        <v>106</v>
      </c>
      <c r="F213">
        <v>0.621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18</v>
      </c>
      <c r="E214" t="s">
        <v>15</v>
      </c>
      <c r="F214">
        <v>91.44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23.367999999999999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143.71299999999999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110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109</v>
      </c>
      <c r="E221" t="s">
        <v>13</v>
      </c>
      <c r="F221">
        <v>1.216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279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205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111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105</v>
      </c>
      <c r="E226" t="s">
        <v>106</v>
      </c>
      <c r="F226">
        <v>0.754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18</v>
      </c>
      <c r="E227" t="s">
        <v>15</v>
      </c>
      <c r="F227">
        <v>96.316999999999993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24.587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151.21100000000001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110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109</v>
      </c>
      <c r="E234" t="s">
        <v>13</v>
      </c>
      <c r="F234">
        <v>1.216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280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206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111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105</v>
      </c>
      <c r="E239" t="s">
        <v>106</v>
      </c>
      <c r="F239">
        <v>0.88700000000000001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18</v>
      </c>
      <c r="E240" t="s">
        <v>15</v>
      </c>
      <c r="F240">
        <v>101.194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25.806000000000001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158.709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110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109</v>
      </c>
      <c r="E247" t="s">
        <v>13</v>
      </c>
      <c r="F247">
        <v>1.216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281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207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111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105</v>
      </c>
      <c r="E252" t="s">
        <v>106</v>
      </c>
      <c r="F252">
        <v>1.02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18</v>
      </c>
      <c r="E253" t="s">
        <v>15</v>
      </c>
      <c r="F253">
        <v>106.07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27.026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166.20699999999999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110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109</v>
      </c>
      <c r="E260" t="s">
        <v>13</v>
      </c>
      <c r="F260">
        <v>1.216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282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208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111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105</v>
      </c>
      <c r="E265" t="s">
        <v>106</v>
      </c>
      <c r="F265">
        <v>1.087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18</v>
      </c>
      <c r="E266" t="s">
        <v>15</v>
      </c>
      <c r="F266">
        <v>108.509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27.635000000000002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169.95599999999999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110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109</v>
      </c>
      <c r="E273" t="s">
        <v>13</v>
      </c>
      <c r="F273">
        <v>1.216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283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209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111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105</v>
      </c>
      <c r="E278" t="s">
        <v>106</v>
      </c>
      <c r="F278">
        <v>1.153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18</v>
      </c>
      <c r="E279" t="s">
        <v>15</v>
      </c>
      <c r="F279">
        <v>110.947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28.245000000000001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173.70599999999999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110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109</v>
      </c>
      <c r="E286" t="s">
        <v>13</v>
      </c>
      <c r="F286">
        <v>1.216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284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210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111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105</v>
      </c>
      <c r="E291" t="s">
        <v>106</v>
      </c>
      <c r="F291">
        <v>1.286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18</v>
      </c>
      <c r="E292" t="s">
        <v>15</v>
      </c>
      <c r="F292">
        <v>115.824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29.463999999999999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181.20400000000001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110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109</v>
      </c>
      <c r="E299" t="s">
        <v>13</v>
      </c>
      <c r="F299">
        <v>1.216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285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211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111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105</v>
      </c>
      <c r="E304" t="s">
        <v>106</v>
      </c>
      <c r="F304">
        <v>1.419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18</v>
      </c>
      <c r="E305" t="s">
        <v>15</v>
      </c>
      <c r="F305">
        <v>120.70099999999999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30.683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188.702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110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109</v>
      </c>
      <c r="E312" t="s">
        <v>13</v>
      </c>
      <c r="F312">
        <v>1.216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286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212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111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105</v>
      </c>
      <c r="E317" t="s">
        <v>106</v>
      </c>
      <c r="F317">
        <v>0.63800000000000001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18</v>
      </c>
      <c r="E318" t="s">
        <v>15</v>
      </c>
      <c r="F318">
        <v>93.066000000000003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23.774000000000001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146.21299999999999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110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109</v>
      </c>
      <c r="E325" t="s">
        <v>13</v>
      </c>
      <c r="F325">
        <v>1.2430000000000001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287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213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111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105</v>
      </c>
      <c r="E330" t="s">
        <v>106</v>
      </c>
      <c r="F330">
        <v>0.77500000000000002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18</v>
      </c>
      <c r="E331" t="s">
        <v>15</v>
      </c>
      <c r="F331">
        <v>97.941999999999993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24.994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153.71100000000001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110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109</v>
      </c>
      <c r="E338" t="s">
        <v>13</v>
      </c>
      <c r="F338">
        <v>1.2430000000000001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288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214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111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105</v>
      </c>
      <c r="E343" t="s">
        <v>106</v>
      </c>
      <c r="F343">
        <v>0.91100000000000003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18</v>
      </c>
      <c r="E344" t="s">
        <v>15</v>
      </c>
      <c r="F344">
        <v>102.819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26.213000000000001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161.209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110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109</v>
      </c>
      <c r="E351" t="s">
        <v>13</v>
      </c>
      <c r="F351">
        <v>1.2430000000000001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289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215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111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105</v>
      </c>
      <c r="E356" t="s">
        <v>106</v>
      </c>
      <c r="F356">
        <v>1.048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18</v>
      </c>
      <c r="E357" t="s">
        <v>15</v>
      </c>
      <c r="F357">
        <v>107.696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27.431999999999999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168.70699999999999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110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109</v>
      </c>
      <c r="E364" t="s">
        <v>13</v>
      </c>
      <c r="F364">
        <v>1.2430000000000001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290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216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105</v>
      </c>
      <c r="E369" t="s">
        <v>106</v>
      </c>
      <c r="F369">
        <v>1.1160000000000001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18</v>
      </c>
      <c r="E370" t="s">
        <v>15</v>
      </c>
      <c r="F370">
        <v>110.134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28.042000000000002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172.45599999999999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110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109</v>
      </c>
      <c r="E377" t="s">
        <v>13</v>
      </c>
      <c r="F377">
        <v>1.2430000000000001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291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217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111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105</v>
      </c>
      <c r="E382" t="s">
        <v>106</v>
      </c>
      <c r="F382">
        <v>1.1850000000000001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18</v>
      </c>
      <c r="E383" t="s">
        <v>15</v>
      </c>
      <c r="F383">
        <v>112.57299999999999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28.651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176.20500000000001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110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109</v>
      </c>
      <c r="E390" t="s">
        <v>13</v>
      </c>
      <c r="F390">
        <v>1.2430000000000001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292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218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111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105</v>
      </c>
      <c r="E395" t="s">
        <v>106</v>
      </c>
      <c r="F395">
        <v>1.321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18</v>
      </c>
      <c r="E396" t="s">
        <v>15</v>
      </c>
      <c r="F396">
        <v>117.45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29.87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183.703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110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109</v>
      </c>
      <c r="E403" t="s">
        <v>13</v>
      </c>
      <c r="F403">
        <v>1.2430000000000001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293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219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111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105</v>
      </c>
      <c r="E408" t="s">
        <v>106</v>
      </c>
      <c r="F408">
        <v>1.458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18</v>
      </c>
      <c r="E409" t="s">
        <v>15</v>
      </c>
      <c r="F409">
        <v>122.32599999999999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31.09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191.20099999999999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110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109</v>
      </c>
      <c r="E416" t="s">
        <v>13</v>
      </c>
      <c r="F416">
        <v>1.2430000000000001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294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220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111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105</v>
      </c>
      <c r="E421" t="s">
        <v>106</v>
      </c>
      <c r="F421">
        <v>0.67200000000000004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18</v>
      </c>
      <c r="E422" t="s">
        <v>15</v>
      </c>
      <c r="F422">
        <v>96.316999999999993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24.587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151.21100000000001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110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109</v>
      </c>
      <c r="E429" t="s">
        <v>13</v>
      </c>
      <c r="F429">
        <v>1.2969999999999999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295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221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111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105</v>
      </c>
      <c r="E434" t="s">
        <v>106</v>
      </c>
      <c r="F434">
        <v>0.81599999999999995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18</v>
      </c>
      <c r="E435" t="s">
        <v>15</v>
      </c>
      <c r="F435">
        <v>101.194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25.806000000000001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158.709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110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109</v>
      </c>
      <c r="E442" t="s">
        <v>13</v>
      </c>
      <c r="F442">
        <v>1.2969999999999999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296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222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111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105</v>
      </c>
      <c r="E447" t="s">
        <v>106</v>
      </c>
      <c r="F447">
        <v>0.96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18</v>
      </c>
      <c r="E448" t="s">
        <v>15</v>
      </c>
      <c r="F448">
        <v>106.07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27.026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166.20699999999999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110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109</v>
      </c>
      <c r="E455" t="s">
        <v>13</v>
      </c>
      <c r="F455">
        <v>1.2969999999999999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297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223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111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105</v>
      </c>
      <c r="E460" t="s">
        <v>106</v>
      </c>
      <c r="F460">
        <v>1.1040000000000001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18</v>
      </c>
      <c r="E461" t="s">
        <v>15</v>
      </c>
      <c r="F461">
        <v>110.947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28.245000000000001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173.70599999999999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110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109</v>
      </c>
      <c r="E468" t="s">
        <v>13</v>
      </c>
      <c r="F468">
        <v>1.2969999999999999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298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224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111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105</v>
      </c>
      <c r="E473" t="s">
        <v>106</v>
      </c>
      <c r="F473">
        <v>1.1759999999999999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18</v>
      </c>
      <c r="E474" t="s">
        <v>15</v>
      </c>
      <c r="F474">
        <v>113.386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28.853999999999999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177.45500000000001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110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109</v>
      </c>
      <c r="E481" t="s">
        <v>13</v>
      </c>
      <c r="F481">
        <v>1.2969999999999999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299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225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111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105</v>
      </c>
      <c r="E486" t="s">
        <v>106</v>
      </c>
      <c r="F486">
        <v>1.248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18</v>
      </c>
      <c r="E487" t="s">
        <v>15</v>
      </c>
      <c r="F487">
        <v>115.824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29.463999999999999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181.20400000000001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110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109</v>
      </c>
      <c r="E494" t="s">
        <v>13</v>
      </c>
      <c r="F494">
        <v>1.2969999999999999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300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226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111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105</v>
      </c>
      <c r="E499" t="s">
        <v>106</v>
      </c>
      <c r="F499">
        <v>1.3919999999999999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18</v>
      </c>
      <c r="E500" t="s">
        <v>15</v>
      </c>
      <c r="F500">
        <v>120.70099999999999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30.683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188.702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110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109</v>
      </c>
      <c r="E507" t="s">
        <v>13</v>
      </c>
      <c r="F507">
        <v>1.2969999999999999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301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227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111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105</v>
      </c>
      <c r="E512" t="s">
        <v>106</v>
      </c>
      <c r="F512">
        <v>1.536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18</v>
      </c>
      <c r="E513" t="s">
        <v>15</v>
      </c>
      <c r="F513">
        <v>125.578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31.902000000000001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196.2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110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109</v>
      </c>
      <c r="E520" t="s">
        <v>13</v>
      </c>
      <c r="F520">
        <v>1.2969999999999999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302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228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111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105</v>
      </c>
      <c r="E525" t="s">
        <v>106</v>
      </c>
      <c r="F525">
        <v>0.50900000000000001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18</v>
      </c>
      <c r="E526" t="s">
        <v>15</v>
      </c>
      <c r="F526">
        <v>84.125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21.539000000000001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132.46600000000001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110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109</v>
      </c>
      <c r="E533" t="s">
        <v>13</v>
      </c>
      <c r="F533">
        <v>0.56699999999999995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303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229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111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105</v>
      </c>
      <c r="E538" t="s">
        <v>106</v>
      </c>
      <c r="F538">
        <v>0.63100000000000001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18</v>
      </c>
      <c r="E539" t="s">
        <v>15</v>
      </c>
      <c r="F539">
        <v>89.001999999999995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22.757999999999999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139.964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110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109</v>
      </c>
      <c r="E546" t="s">
        <v>13</v>
      </c>
      <c r="F546">
        <v>0.64900000000000002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304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230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111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105</v>
      </c>
      <c r="E551" t="s">
        <v>106</v>
      </c>
      <c r="F551">
        <v>0.753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18</v>
      </c>
      <c r="E552" t="s">
        <v>15</v>
      </c>
      <c r="F552">
        <v>93.878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23.978000000000002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147.46199999999999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110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109</v>
      </c>
      <c r="E559" t="s">
        <v>13</v>
      </c>
      <c r="F559">
        <v>0.73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305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231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111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105</v>
      </c>
      <c r="E564" t="s">
        <v>106</v>
      </c>
      <c r="F564">
        <v>0.875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18</v>
      </c>
      <c r="E565" t="s">
        <v>15</v>
      </c>
      <c r="F565">
        <v>98.754999999999995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25.196999999999999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154.96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110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109</v>
      </c>
      <c r="E572" t="s">
        <v>13</v>
      </c>
      <c r="F572">
        <v>0.81100000000000005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306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232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111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105</v>
      </c>
      <c r="E577" t="s">
        <v>106</v>
      </c>
      <c r="F577">
        <v>1.119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18</v>
      </c>
      <c r="E578" t="s">
        <v>15</v>
      </c>
      <c r="F578">
        <v>108.509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27.635000000000002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169.95599999999999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110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109</v>
      </c>
      <c r="E585" t="s">
        <v>13</v>
      </c>
      <c r="F585">
        <v>0.97299999999999998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307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233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111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105</v>
      </c>
      <c r="E590" t="s">
        <v>106</v>
      </c>
      <c r="F590">
        <v>1.2410000000000001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18</v>
      </c>
      <c r="E591" t="s">
        <v>15</v>
      </c>
      <c r="F591">
        <v>113.386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28.853999999999999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177.45500000000001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110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109</v>
      </c>
      <c r="E598" t="s">
        <v>13</v>
      </c>
      <c r="F598">
        <v>1.054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308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234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111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105</v>
      </c>
      <c r="E603" t="s">
        <v>106</v>
      </c>
      <c r="F603">
        <v>1.3640000000000001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18</v>
      </c>
      <c r="E604" t="s">
        <v>15</v>
      </c>
      <c r="F604">
        <v>118.262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30.074000000000002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184.953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110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109</v>
      </c>
      <c r="E611" t="s">
        <v>13</v>
      </c>
      <c r="F611">
        <v>1.135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309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235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111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105</v>
      </c>
      <c r="E616" t="s">
        <v>106</v>
      </c>
      <c r="F616">
        <v>0.53200000000000003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18</v>
      </c>
      <c r="E617" t="s">
        <v>15</v>
      </c>
      <c r="F617">
        <v>86.563000000000002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22.149000000000001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136.215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110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109</v>
      </c>
      <c r="E624" t="s">
        <v>13</v>
      </c>
      <c r="F624">
        <v>0.56699999999999995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310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236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111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105</v>
      </c>
      <c r="E629" t="s">
        <v>106</v>
      </c>
      <c r="F629">
        <v>0.65900000000000003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18</v>
      </c>
      <c r="E630" t="s">
        <v>15</v>
      </c>
      <c r="F630">
        <v>91.44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23.367999999999999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143.71299999999999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110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109</v>
      </c>
      <c r="E637" t="s">
        <v>13</v>
      </c>
      <c r="F637">
        <v>0.64900000000000002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311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237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111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105</v>
      </c>
      <c r="E642" t="s">
        <v>106</v>
      </c>
      <c r="F642">
        <v>0.78700000000000003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18</v>
      </c>
      <c r="E643" t="s">
        <v>15</v>
      </c>
      <c r="F643">
        <v>96.316999999999993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24.587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151.21100000000001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110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109</v>
      </c>
      <c r="E650" t="s">
        <v>13</v>
      </c>
      <c r="F650">
        <v>0.73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312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238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111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105</v>
      </c>
      <c r="E655" t="s">
        <v>106</v>
      </c>
      <c r="F655">
        <v>0.91400000000000003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18</v>
      </c>
      <c r="E656" t="s">
        <v>15</v>
      </c>
      <c r="F656">
        <v>101.194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25.806000000000001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158.709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110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109</v>
      </c>
      <c r="E663" t="s">
        <v>13</v>
      </c>
      <c r="F663">
        <v>0.81100000000000005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313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239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111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105</v>
      </c>
      <c r="E668" t="s">
        <v>106</v>
      </c>
      <c r="F668">
        <v>1.169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18</v>
      </c>
      <c r="E669" t="s">
        <v>15</v>
      </c>
      <c r="F669">
        <v>110.947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28.245000000000001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173.70599999999999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110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109</v>
      </c>
      <c r="E676" t="s">
        <v>13</v>
      </c>
      <c r="F676">
        <v>0.97299999999999998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314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240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111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105</v>
      </c>
      <c r="E681" t="s">
        <v>106</v>
      </c>
      <c r="F681">
        <v>1.2969999999999999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18</v>
      </c>
      <c r="E682" t="s">
        <v>15</v>
      </c>
      <c r="F682">
        <v>115.824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29.463999999999999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181.20400000000001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110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109</v>
      </c>
      <c r="E689" t="s">
        <v>13</v>
      </c>
      <c r="F689">
        <v>1.054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315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241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111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105</v>
      </c>
      <c r="E694" t="s">
        <v>106</v>
      </c>
      <c r="F694">
        <v>1.425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18</v>
      </c>
      <c r="E695" t="s">
        <v>15</v>
      </c>
      <c r="F695">
        <v>120.70099999999999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30.683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188.702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110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109</v>
      </c>
      <c r="E702" t="s">
        <v>13</v>
      </c>
      <c r="F702">
        <v>1.135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316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242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111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105</v>
      </c>
      <c r="E707" t="s">
        <v>106</v>
      </c>
      <c r="F707">
        <v>0.55400000000000005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18</v>
      </c>
      <c r="E708" t="s">
        <v>15</v>
      </c>
      <c r="F708">
        <v>89.001999999999995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22.757999999999999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139.964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110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109</v>
      </c>
      <c r="E715" t="s">
        <v>13</v>
      </c>
      <c r="F715">
        <v>1.216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317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243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111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105</v>
      </c>
      <c r="E720" t="s">
        <v>106</v>
      </c>
      <c r="F720">
        <v>0.68700000000000006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18</v>
      </c>
      <c r="E721" t="s">
        <v>15</v>
      </c>
      <c r="F721">
        <v>93.878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23.978000000000002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147.46199999999999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110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109</v>
      </c>
      <c r="E728" t="s">
        <v>13</v>
      </c>
      <c r="F728">
        <v>1.216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318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244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111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105</v>
      </c>
      <c r="E733" t="s">
        <v>106</v>
      </c>
      <c r="F733">
        <v>0.82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18</v>
      </c>
      <c r="E734" t="s">
        <v>15</v>
      </c>
      <c r="F734">
        <v>98.754999999999995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25.196999999999999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154.96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110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109</v>
      </c>
      <c r="E741" t="s">
        <v>13</v>
      </c>
      <c r="F741">
        <v>1.216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319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245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111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105</v>
      </c>
      <c r="E746" t="s">
        <v>106</v>
      </c>
      <c r="F746">
        <v>0.95299999999999996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18</v>
      </c>
      <c r="E747" t="s">
        <v>15</v>
      </c>
      <c r="F747">
        <v>103.63200000000001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26.416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162.458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110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109</v>
      </c>
      <c r="E754" t="s">
        <v>13</v>
      </c>
      <c r="F754">
        <v>1.216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320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246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111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105</v>
      </c>
      <c r="E759" t="s">
        <v>106</v>
      </c>
      <c r="F759">
        <v>1.22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18</v>
      </c>
      <c r="E760" t="s">
        <v>15</v>
      </c>
      <c r="F760">
        <v>113.386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28.853999999999999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177.45500000000001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110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109</v>
      </c>
      <c r="E767" t="s">
        <v>13</v>
      </c>
      <c r="F767">
        <v>1.216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321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247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111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105</v>
      </c>
      <c r="E772" t="s">
        <v>106</v>
      </c>
      <c r="F772">
        <v>1.353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18</v>
      </c>
      <c r="E773" t="s">
        <v>15</v>
      </c>
      <c r="F773">
        <v>118.262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30.074000000000002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184.953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110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109</v>
      </c>
      <c r="E780" t="s">
        <v>13</v>
      </c>
      <c r="F780">
        <v>1.216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322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248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111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105</v>
      </c>
      <c r="E785" t="s">
        <v>106</v>
      </c>
      <c r="F785">
        <v>1.486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18</v>
      </c>
      <c r="E786" t="s">
        <v>15</v>
      </c>
      <c r="F786">
        <v>123.139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31.292999999999999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192.45099999999999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110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109</v>
      </c>
      <c r="E793" t="s">
        <v>13</v>
      </c>
      <c r="F793">
        <v>1.216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323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249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111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105</v>
      </c>
      <c r="E798" t="s">
        <v>106</v>
      </c>
      <c r="F798">
        <v>0.56999999999999995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18</v>
      </c>
      <c r="E799" t="s">
        <v>15</v>
      </c>
      <c r="F799">
        <v>90.626999999999995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23.164999999999999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142.464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110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109</v>
      </c>
      <c r="E806" t="s">
        <v>13</v>
      </c>
      <c r="F806">
        <v>1.2430000000000001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324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250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111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105</v>
      </c>
      <c r="E811" t="s">
        <v>106</v>
      </c>
      <c r="F811">
        <v>0.70599999999999996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18</v>
      </c>
      <c r="E812" t="s">
        <v>15</v>
      </c>
      <c r="F812">
        <v>95.504000000000005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24.384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149.96199999999999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110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109</v>
      </c>
      <c r="E819" t="s">
        <v>13</v>
      </c>
      <c r="F819">
        <v>1.2430000000000001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325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251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111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105</v>
      </c>
      <c r="E824" t="s">
        <v>106</v>
      </c>
      <c r="F824">
        <v>0.84299999999999997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18</v>
      </c>
      <c r="E825" t="s">
        <v>15</v>
      </c>
      <c r="F825">
        <v>100.381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25.603000000000002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157.46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110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109</v>
      </c>
      <c r="E832" t="s">
        <v>13</v>
      </c>
      <c r="F832">
        <v>1.2430000000000001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326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252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111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105</v>
      </c>
      <c r="E837" t="s">
        <v>106</v>
      </c>
      <c r="F837">
        <v>0.98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18</v>
      </c>
      <c r="E838" t="s">
        <v>15</v>
      </c>
      <c r="F838">
        <v>105.258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26.821999999999999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164.958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110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109</v>
      </c>
      <c r="E845" t="s">
        <v>13</v>
      </c>
      <c r="F845">
        <v>1.2430000000000001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327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253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111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105</v>
      </c>
      <c r="E850" t="s">
        <v>106</v>
      </c>
      <c r="F850">
        <v>1.2529999999999999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18</v>
      </c>
      <c r="E851" t="s">
        <v>15</v>
      </c>
      <c r="F851">
        <v>115.011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29.260999999999999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179.95400000000001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110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109</v>
      </c>
      <c r="E858" t="s">
        <v>13</v>
      </c>
      <c r="F858">
        <v>1.2430000000000001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328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254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111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105</v>
      </c>
      <c r="E863" t="s">
        <v>106</v>
      </c>
      <c r="F863">
        <v>1.39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18</v>
      </c>
      <c r="E864" t="s">
        <v>15</v>
      </c>
      <c r="F864">
        <v>119.88800000000001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30.48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187.452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110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109</v>
      </c>
      <c r="E871" t="s">
        <v>13</v>
      </c>
      <c r="F871">
        <v>1.2430000000000001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329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255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111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105</v>
      </c>
      <c r="E876" t="s">
        <v>106</v>
      </c>
      <c r="F876">
        <v>1.526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18</v>
      </c>
      <c r="E877" t="s">
        <v>15</v>
      </c>
      <c r="F877">
        <v>124.765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31.699000000000002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194.95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110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109</v>
      </c>
      <c r="E884" t="s">
        <v>13</v>
      </c>
      <c r="F884">
        <v>1.2430000000000001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330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256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105</v>
      </c>
      <c r="E889" t="s">
        <v>106</v>
      </c>
      <c r="F889">
        <v>0.6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18</v>
      </c>
      <c r="E890" t="s">
        <v>15</v>
      </c>
      <c r="F890">
        <v>93.878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23.978000000000002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147.46199999999999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110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109</v>
      </c>
      <c r="E897" t="s">
        <v>13</v>
      </c>
      <c r="F897">
        <v>1.2969999999999999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331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257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111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105</v>
      </c>
      <c r="E902" t="s">
        <v>106</v>
      </c>
      <c r="F902">
        <v>0.74399999999999999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18</v>
      </c>
      <c r="E903" t="s">
        <v>15</v>
      </c>
      <c r="F903">
        <v>98.754999999999995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25.196999999999999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154.96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110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109</v>
      </c>
      <c r="E910" t="s">
        <v>13</v>
      </c>
      <c r="F910">
        <v>1.2969999999999999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332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258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111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105</v>
      </c>
      <c r="E915" t="s">
        <v>106</v>
      </c>
      <c r="F915">
        <v>0.88800000000000001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18</v>
      </c>
      <c r="E916" t="s">
        <v>15</v>
      </c>
      <c r="F916">
        <v>103.63200000000001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26.416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162.458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110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109</v>
      </c>
      <c r="E923" t="s">
        <v>13</v>
      </c>
      <c r="F923">
        <v>1.2969999999999999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333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259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111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105</v>
      </c>
      <c r="E928" t="s">
        <v>106</v>
      </c>
      <c r="F928">
        <v>1.032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18</v>
      </c>
      <c r="E929" t="s">
        <v>15</v>
      </c>
      <c r="F929">
        <v>108.509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27.635000000000002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169.95599999999999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110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109</v>
      </c>
      <c r="E936" t="s">
        <v>13</v>
      </c>
      <c r="F936">
        <v>1.2969999999999999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334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260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111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105</v>
      </c>
      <c r="E941" t="s">
        <v>106</v>
      </c>
      <c r="F941">
        <v>1.32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18</v>
      </c>
      <c r="E942" t="s">
        <v>15</v>
      </c>
      <c r="F942">
        <v>118.262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30.074000000000002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184.953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110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109</v>
      </c>
      <c r="E949" t="s">
        <v>13</v>
      </c>
      <c r="F949">
        <v>1.2969999999999999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335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261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111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105</v>
      </c>
      <c r="E954" t="s">
        <v>106</v>
      </c>
      <c r="F954">
        <v>1.464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18</v>
      </c>
      <c r="E955" t="s">
        <v>15</v>
      </c>
      <c r="F955">
        <v>123.139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31.292999999999999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192.45099999999999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110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109</v>
      </c>
      <c r="E962" t="s">
        <v>13</v>
      </c>
      <c r="F962">
        <v>1.2969999999999999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336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262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111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105</v>
      </c>
      <c r="E967" t="s">
        <v>106</v>
      </c>
      <c r="F967">
        <v>1.6080000000000001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18</v>
      </c>
      <c r="E968" t="s">
        <v>15</v>
      </c>
      <c r="F968">
        <v>128.01599999999999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32.512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199.94900000000001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110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109</v>
      </c>
      <c r="E975" t="s">
        <v>13</v>
      </c>
      <c r="F975">
        <v>1.2969999999999999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337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26</v>
      </c>
      <c r="B1" s="42" t="s">
        <v>27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28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29</v>
      </c>
      <c r="C2" s="39" t="s">
        <v>30</v>
      </c>
      <c r="D2" s="39" t="s">
        <v>31</v>
      </c>
      <c r="E2" s="39" t="s">
        <v>30</v>
      </c>
      <c r="F2" s="39" t="s">
        <v>31</v>
      </c>
      <c r="G2" s="39" t="s">
        <v>29</v>
      </c>
      <c r="H2" s="39" t="s">
        <v>31</v>
      </c>
      <c r="I2" s="39" t="s">
        <v>31</v>
      </c>
      <c r="J2" s="39" t="s">
        <v>31</v>
      </c>
      <c r="K2" s="39" t="s">
        <v>31</v>
      </c>
      <c r="L2" s="39" t="s">
        <v>29</v>
      </c>
      <c r="M2" s="40" t="s">
        <v>32</v>
      </c>
      <c r="N2" s="22" t="s">
        <v>32</v>
      </c>
      <c r="O2" s="40" t="s">
        <v>32</v>
      </c>
      <c r="P2" s="40" t="s">
        <v>33</v>
      </c>
      <c r="Q2" s="40" t="s">
        <v>32</v>
      </c>
      <c r="R2" s="40" t="s">
        <v>33</v>
      </c>
      <c r="S2" s="40" t="s">
        <v>32</v>
      </c>
      <c r="T2" s="40" t="s">
        <v>32</v>
      </c>
      <c r="U2" s="40" t="s">
        <v>33</v>
      </c>
      <c r="V2" s="40" t="s">
        <v>32</v>
      </c>
      <c r="W2" s="40" t="s">
        <v>32</v>
      </c>
      <c r="X2" s="40" t="s">
        <v>32</v>
      </c>
      <c r="Y2" s="40" t="s">
        <v>33</v>
      </c>
      <c r="Z2" s="40" t="s">
        <v>34</v>
      </c>
      <c r="AA2" s="40" t="s">
        <v>32</v>
      </c>
      <c r="AB2" s="40" t="s">
        <v>32</v>
      </c>
      <c r="AC2" s="40" t="s">
        <v>32</v>
      </c>
      <c r="AD2" s="40" t="s">
        <v>32</v>
      </c>
      <c r="AE2" s="40" t="s">
        <v>32</v>
      </c>
      <c r="AF2" s="40" t="s">
        <v>32</v>
      </c>
      <c r="AG2" s="40" t="s">
        <v>34</v>
      </c>
      <c r="AH2" s="40" t="s">
        <v>34</v>
      </c>
      <c r="AI2" s="40" t="s">
        <v>34</v>
      </c>
      <c r="AJ2" s="40" t="s">
        <v>32</v>
      </c>
      <c r="AK2" s="40" t="s">
        <v>32</v>
      </c>
      <c r="AL2" s="40" t="s">
        <v>32</v>
      </c>
    </row>
    <row r="3" spans="1:38" x14ac:dyDescent="0.25">
      <c r="A3" s="41"/>
      <c r="B3" s="39" t="s">
        <v>35</v>
      </c>
      <c r="C3" s="39" t="s">
        <v>36</v>
      </c>
      <c r="D3" s="39" t="s">
        <v>37</v>
      </c>
      <c r="E3" s="39" t="s">
        <v>36</v>
      </c>
      <c r="F3" s="39" t="s">
        <v>38</v>
      </c>
      <c r="G3" s="39" t="s">
        <v>39</v>
      </c>
      <c r="H3" s="39" t="s">
        <v>40</v>
      </c>
      <c r="I3" s="39" t="s">
        <v>41</v>
      </c>
      <c r="J3" s="39" t="s">
        <v>36</v>
      </c>
      <c r="K3" s="39" t="s">
        <v>36</v>
      </c>
      <c r="L3" s="39" t="s">
        <v>42</v>
      </c>
      <c r="M3" s="40" t="s">
        <v>43</v>
      </c>
      <c r="N3" s="22" t="s">
        <v>36</v>
      </c>
      <c r="O3" s="40" t="s">
        <v>38</v>
      </c>
      <c r="P3" s="40" t="s">
        <v>44</v>
      </c>
      <c r="Q3" s="40" t="s">
        <v>41</v>
      </c>
      <c r="R3" s="40" t="s">
        <v>40</v>
      </c>
      <c r="S3" s="40" t="s">
        <v>45</v>
      </c>
      <c r="T3" s="40" t="s">
        <v>43</v>
      </c>
      <c r="U3" s="40" t="s">
        <v>46</v>
      </c>
      <c r="V3" s="40" t="s">
        <v>40</v>
      </c>
      <c r="W3" s="40" t="s">
        <v>41</v>
      </c>
      <c r="X3" s="40" t="s">
        <v>41</v>
      </c>
      <c r="Y3" s="40" t="s">
        <v>35</v>
      </c>
      <c r="Z3" s="40" t="s">
        <v>42</v>
      </c>
      <c r="AA3" s="40" t="s">
        <v>47</v>
      </c>
      <c r="AB3" s="40" t="s">
        <v>47</v>
      </c>
      <c r="AC3" s="40" t="s">
        <v>41</v>
      </c>
      <c r="AD3" s="40" t="s">
        <v>41</v>
      </c>
      <c r="AE3" s="40" t="s">
        <v>46</v>
      </c>
      <c r="AF3" s="40" t="s">
        <v>45</v>
      </c>
      <c r="AG3" s="40" t="s">
        <v>35</v>
      </c>
      <c r="AH3" s="40" t="s">
        <v>42</v>
      </c>
      <c r="AI3" s="40" t="s">
        <v>42</v>
      </c>
      <c r="AJ3" s="40" t="s">
        <v>36</v>
      </c>
      <c r="AK3" s="40" t="s">
        <v>38</v>
      </c>
      <c r="AL3" s="40" t="s">
        <v>48</v>
      </c>
    </row>
    <row r="4" spans="1:38" x14ac:dyDescent="0.25">
      <c r="A4" s="41"/>
      <c r="B4" s="23" t="s">
        <v>49</v>
      </c>
      <c r="C4" s="23" t="s">
        <v>50</v>
      </c>
      <c r="D4" s="39" t="s">
        <v>51</v>
      </c>
      <c r="E4" s="23" t="s">
        <v>3</v>
      </c>
      <c r="F4" s="39" t="s">
        <v>52</v>
      </c>
      <c r="G4" s="23" t="s">
        <v>53</v>
      </c>
      <c r="H4" s="23" t="s">
        <v>6</v>
      </c>
      <c r="I4" s="23" t="s">
        <v>54</v>
      </c>
      <c r="J4" s="39" t="s">
        <v>55</v>
      </c>
      <c r="K4" s="39" t="s">
        <v>56</v>
      </c>
      <c r="L4" s="39" t="s">
        <v>57</v>
      </c>
      <c r="M4" s="24" t="s">
        <v>58</v>
      </c>
      <c r="N4" s="25" t="s">
        <v>3</v>
      </c>
      <c r="O4" s="40" t="s">
        <v>52</v>
      </c>
      <c r="P4" s="40" t="s">
        <v>59</v>
      </c>
      <c r="Q4" s="40" t="s">
        <v>60</v>
      </c>
      <c r="R4" s="40" t="s">
        <v>4</v>
      </c>
      <c r="S4" s="40" t="s">
        <v>61</v>
      </c>
      <c r="T4" s="40" t="s">
        <v>62</v>
      </c>
      <c r="U4" s="40" t="s">
        <v>63</v>
      </c>
      <c r="V4" s="40" t="s">
        <v>6</v>
      </c>
      <c r="W4" s="40" t="s">
        <v>64</v>
      </c>
      <c r="X4" s="40" t="s">
        <v>65</v>
      </c>
      <c r="Y4" s="40" t="s">
        <v>66</v>
      </c>
      <c r="Z4" s="40" t="s">
        <v>67</v>
      </c>
      <c r="AA4" s="40" t="s">
        <v>68</v>
      </c>
      <c r="AB4" s="40" t="s">
        <v>69</v>
      </c>
      <c r="AC4" s="40" t="s">
        <v>70</v>
      </c>
      <c r="AD4" s="40" t="s">
        <v>71</v>
      </c>
      <c r="AE4" s="40" t="s">
        <v>72</v>
      </c>
      <c r="AF4" s="40" t="s">
        <v>73</v>
      </c>
      <c r="AG4" s="40" t="s">
        <v>74</v>
      </c>
      <c r="AH4" s="40" t="s">
        <v>75</v>
      </c>
      <c r="AI4" s="40" t="s">
        <v>76</v>
      </c>
      <c r="AJ4" s="40" t="s">
        <v>77</v>
      </c>
      <c r="AK4" s="40" t="s">
        <v>78</v>
      </c>
      <c r="AL4" s="40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111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0.56999999999999995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86.563000000000002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22.149000000000001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136.215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0.60799999999999998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263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189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111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0.69199999999999995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91.44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23.367999999999999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143.71299999999999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110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0.68899999999999995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264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190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111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0.81399999999999995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96.316999999999993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24.587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151.21100000000001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110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0.77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265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191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111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0.93600000000000005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101.194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25.806000000000001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158.709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0.85099999999999998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266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192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111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0.997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103.63200000000001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26.416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162.458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110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0.89200000000000002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267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193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111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1.0580000000000001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106.07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27.026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166.20699999999999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110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0.93200000000000005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268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194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111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1.18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110.947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28.245000000000001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173.70599999999999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1.0129999999999999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269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195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111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1.302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115.824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29.463999999999999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181.20400000000001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110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1.0940000000000001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270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196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111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0.59499999999999997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89.001999999999995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22.757999999999999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139.964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0.60799999999999998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271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197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111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0.72299999999999998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93.878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23.978000000000002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147.46199999999999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110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0.68899999999999995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272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198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111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0.85099999999999998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98.754999999999995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25.196999999999999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154.96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110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0.77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273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199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111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0.97799999999999998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103.63200000000001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26.416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162.458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0.85099999999999998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274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200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111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1.042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106.07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27.026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166.20699999999999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0.89200000000000002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275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201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111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1.1060000000000001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108.509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27.635000000000002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169.95599999999999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110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0.93200000000000005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276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202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111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1.2330000000000001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113.386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28.853999999999999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177.45500000000001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1.0129999999999999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277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203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111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1.361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118.262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30.074000000000002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184.953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1.0940000000000001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278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204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111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0.621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91.44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23.367999999999999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143.71299999999999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1.216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279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205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111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0.754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96.316999999999993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24.587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151.21100000000001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110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1.216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280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206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111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0.88700000000000001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101.194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25.806000000000001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158.709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1.216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281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207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111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1.02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106.07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27.026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166.20699999999999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110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1.216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282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208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111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1.087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108.509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27.635000000000002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169.95599999999999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110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1.216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283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209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111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1.153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110.947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28.245000000000001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173.70599999999999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1.216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284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210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111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1.286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115.824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29.463999999999999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181.20400000000001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110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1.216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285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211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111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1.419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120.70099999999999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30.683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188.702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1.216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286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212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111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0.63800000000000001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93.066000000000003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23.774000000000001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146.21299999999999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1.2430000000000001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287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213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111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0.77500000000000002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97.941999999999993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24.994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153.71100000000001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110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1.2430000000000001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288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214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111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0.91100000000000003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102.819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26.213000000000001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161.209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1.2430000000000001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289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215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111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1.048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107.696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27.431999999999999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168.70699999999999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110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1.2430000000000001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290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216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1.1160000000000001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110.134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28.042000000000002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172.45599999999999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110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1.2430000000000001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291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217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111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1.1850000000000001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112.57299999999999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28.651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176.20500000000001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1.2430000000000001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292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218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111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1.321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117.45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29.87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183.703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110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1.2430000000000001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293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219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111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1.458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122.32599999999999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31.09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191.20099999999999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1.2430000000000001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294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111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0.67200000000000004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96.316999999999993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24.587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151.21100000000001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110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1.2969999999999999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295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111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0.81599999999999995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101.194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25.806000000000001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158.709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1.2969999999999999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296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222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111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0.96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106.07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27.026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166.20699999999999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110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1.2969999999999999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297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223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111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1.1040000000000001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110.947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28.245000000000001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173.70599999999999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1.2969999999999999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298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224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111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1.1759999999999999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113.386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28.853999999999999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177.45500000000001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1.2969999999999999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299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225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111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1.248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115.824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29.463999999999999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181.20400000000001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1.2969999999999999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300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226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111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1.3919999999999999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120.70099999999999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30.683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188.702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1.2969999999999999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301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227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111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1.536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125.578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31.902000000000001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196.2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110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1.2969999999999999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302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228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111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0.50900000000000001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84.125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21.539000000000001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132.46600000000001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0.56699999999999995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303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229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111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0.63100000000000001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89.001999999999995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22.757999999999999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139.964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110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0.64900000000000002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304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230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111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0.753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93.878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23.978000000000002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147.46199999999999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110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0.73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305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231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111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0.875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98.754999999999995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25.196999999999999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154.96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110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0.81100000000000005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306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232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111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1.119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108.509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27.635000000000002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169.95599999999999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0.97299999999999998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307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233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111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1.2410000000000001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113.386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28.853999999999999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177.45500000000001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110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1.054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308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234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111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1.3640000000000001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118.262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30.074000000000002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184.953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1.135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309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235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111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0.53200000000000003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86.563000000000002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22.149000000000001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136.215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0.56699999999999995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310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236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111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0.65900000000000003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91.44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23.367999999999999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143.71299999999999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0.64900000000000002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311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237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111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0.78700000000000003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96.316999999999993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24.587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151.21100000000001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110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0.73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312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238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111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0.91400000000000003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101.194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25.806000000000001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158.709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0.81100000000000005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313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239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111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1.169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110.947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28.245000000000001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173.70599999999999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0.97299999999999998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314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240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111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1.2969999999999999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115.824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29.463999999999999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181.20400000000001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110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1.054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315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241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111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1.425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120.70099999999999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30.683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188.702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110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1.135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316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242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111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0.55400000000000005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89.001999999999995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22.757999999999999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139.964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1.216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317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243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111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0.68700000000000006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93.878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23.978000000000002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147.46199999999999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110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1.216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318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244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111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0.82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98.754999999999995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25.196999999999999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154.96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1.216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319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245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111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0.95299999999999996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103.63200000000001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26.416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162.458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110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1.216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320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246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111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1.22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113.386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28.853999999999999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177.45500000000001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110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1.216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321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247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111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1.353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118.262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30.074000000000002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184.953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1.216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322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248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111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1.486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123.139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31.292999999999999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192.45099999999999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1.216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323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249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111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0.56999999999999995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90.626999999999995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23.164999999999999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142.464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110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1.2430000000000001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324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250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111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0.70599999999999996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95.504000000000005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24.384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149.96199999999999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110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1.2430000000000001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325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251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111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0.84299999999999997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100.381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25.603000000000002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157.46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1.2430000000000001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326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252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111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0.98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105.258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26.821999999999999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164.958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110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1.2430000000000001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327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253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111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1.2529999999999999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115.011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29.260999999999999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179.95400000000001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110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1.2430000000000001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328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254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111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1.39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119.88800000000001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30.48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187.452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1.2430000000000001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329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255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111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1.526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124.765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31.699000000000002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194.95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1.2430000000000001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330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256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0.6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93.878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23.978000000000002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147.46199999999999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1.2969999999999999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331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257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111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0.74399999999999999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98.754999999999995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25.196999999999999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154.96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110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1.2969999999999999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332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258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111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0.88800000000000001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103.63200000000001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26.416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162.458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110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1.2969999999999999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333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259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111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1.032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108.509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27.635000000000002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169.95599999999999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1.2969999999999999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334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260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111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1.32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118.262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30.074000000000002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184.953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110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1.2969999999999999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335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261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111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1.464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123.139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31.292999999999999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192.45099999999999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110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1.2969999999999999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336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262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111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1.6080000000000001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128.01599999999999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32.512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199.94900000000001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1.2969999999999999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337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2026-06-02T08:53:48Z</dcterms:modified>
</cp:coreProperties>
</file>