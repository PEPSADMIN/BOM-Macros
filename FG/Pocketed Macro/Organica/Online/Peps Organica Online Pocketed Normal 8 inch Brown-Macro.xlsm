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Organica\Online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3" i="13"/>
  <c r="E14" i="13"/>
  <c r="G12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2" i="13"/>
  <c r="G3" i="13" l="1"/>
  <c r="G4" i="13" l="1"/>
  <c r="H14" i="13" l="1"/>
  <c r="H13" i="13"/>
  <c r="H12" i="13"/>
  <c r="H11" i="13"/>
  <c r="H10" i="13"/>
  <c r="H9" i="13"/>
  <c r="H8" i="13"/>
  <c r="G7" i="13"/>
  <c r="H7" i="13" s="1"/>
  <c r="G6" i="13"/>
  <c r="H6" i="13" s="1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<sst xmlns="http://schemas.openxmlformats.org/spreadsheetml/2006/main" count="5311" uniqueCount="250">
  <si>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</si>
  <si>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</si>
  <si>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</si>
  <si>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</si>
  <si>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</si>
  <si>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</si>
  <si>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</si>
  <si>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</si>
  <si>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</si>
  <si>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</si>
  <si>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</si>
  <si>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</si>
  <si>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</si>
  <si>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</si>
  <si>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</si>
  <si>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</si>
  <si>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</si>
  <si>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</si>
  <si>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</si>
  <si>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</si>
  <si>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</si>
  <si>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</si>
  <si>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</si>
  <si>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</si>
  <si>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</si>
  <si>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</si>
  <si>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</si>
  <si>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</si>
  <si>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</si>
  <si>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</si>
  <si>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</si>
  <si>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</si>
  <si>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</si>
  <si>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</si>
  <si>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</si>
  <si>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</si>
  <si>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</si>
  <si>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</si>
  <si>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</si>
  <si>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</si>
  <si>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</si>
  <si>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</si>
  <si>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</si>
  <si>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</si>
  <si>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</si>
  <si>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</si>
  <si>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</si>
  <si>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</si>
  <si>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</si>
  <si>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</si>
  <si>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</si>
  <si>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</si>
  <si>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</si>
  <si>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</si>
  <si>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</si>
  <si>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</si>
  <si>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</si>
  <si>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</si>
  <si>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</si>
  <si>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</si>
  <si>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</si>
  <si>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</si>
  <si>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</si>
  <si>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</si>
  <si>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</si>
  <si>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</si>
  <si>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</si>
  <si>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</si>
  <si>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</si>
  <si>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</si>
  <si>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</si>
  <si>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</si>
  <si>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</si>
  <si>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</si>
  <si>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</si>
  <si>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</si>
  <si>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</si>
  <si>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</si>
  <si>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</si>
  <si>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</si>
  <si>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</si>
  <si>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</si>
  <si>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</si>
  <si>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</si>
  <si>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</si>
  <si>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</si>
  <si>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</si>
  <si>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</si>
  <si>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</si>
  <si>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</si>
  <si>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</si>
  <si>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</si>
  <si>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</si>
  <si>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</si>
  <si>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</si>
  <si>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</si>
  <si>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RML-POLY-GUM</t>
  </si>
  <si>
    <t>LTR</t>
  </si>
  <si>
    <t>SFG-RTC-ORGBW-BP</t>
  </si>
  <si>
    <t>RML-ORG-EDTAPE-BR</t>
  </si>
  <si>
    <t>BW</t>
  </si>
  <si>
    <t>SFG-RTC-ORGBW-QUILT</t>
  </si>
  <si>
    <t>30</t>
  </si>
  <si>
    <t>36</t>
  </si>
  <si>
    <t>42</t>
  </si>
  <si>
    <t>48</t>
  </si>
  <si>
    <t>60</t>
  </si>
  <si>
    <t>66</t>
  </si>
  <si>
    <t>RML-CS-PL-8.5</t>
  </si>
  <si>
    <t>RMI-PVC-50</t>
  </si>
  <si>
    <t>PEPSPKORGBW72X30X08-ECOM</t>
  </si>
  <si>
    <t>OEPKBOXSR71.50X29.50X140</t>
  </si>
  <si>
    <t>25D-HELIXA-FOAM-71.50X29.50X15MM</t>
  </si>
  <si>
    <t>60D-RB-MAT-FOAM-71.50X29.50X15MM</t>
  </si>
  <si>
    <t>PEPSPKORGBW72X36X08-ECOM</t>
  </si>
  <si>
    <t>OEPKBOXSR71.50X35.50X140</t>
  </si>
  <si>
    <t>25D-HELIXA-FOAM-71.50X35.50X15MM</t>
  </si>
  <si>
    <t>60D-RB-MAT-FOAM-71.50X35.50X15MM</t>
  </si>
  <si>
    <t>PEPSPKORGBW72X42X08-ECOM</t>
  </si>
  <si>
    <t>OEPKBOXSR71.50X41.50X140</t>
  </si>
  <si>
    <t>25D-HELIXA-FOAM-71.50X41.50X15MM</t>
  </si>
  <si>
    <t>60D-RB-MAT-FOAM-71.50X41.50X15MM</t>
  </si>
  <si>
    <t>PEPSPKORGBW72X48X08-ECOM</t>
  </si>
  <si>
    <t>OEPKBOXSR71.50X47.50X140</t>
  </si>
  <si>
    <t>25D-HELIXA-FOAM-71.50X47.50X15MM</t>
  </si>
  <si>
    <t>60D-RB-MAT-FOAM-71.50X47.50X15MM</t>
  </si>
  <si>
    <t>PEPSPKORGBW72X60X08-ECOM</t>
  </si>
  <si>
    <t>OEPKBOXSR71.50X59.50X140</t>
  </si>
  <si>
    <t>25D-HELIXA-FOAM-71.50X59.50X15MM</t>
  </si>
  <si>
    <t>60D-RB-MAT-FOAM-71.50X59.50X15MM</t>
  </si>
  <si>
    <t>PEPSPKORGBW72X66X08-ECOM</t>
  </si>
  <si>
    <t>OEPKBOXSR71.50X65.50X140</t>
  </si>
  <si>
    <t>25D-HELIXA-FOAM-71.50X65.50X15MM</t>
  </si>
  <si>
    <t>60D-RB-MAT-FOAM-71.50X65.50X15MM</t>
  </si>
  <si>
    <t>PEPSPKORGBW72X72X08-ECOM</t>
  </si>
  <si>
    <t>OEPKBOXSR71.50X71.50X140</t>
  </si>
  <si>
    <t>25D-HELIXA-FOAM-71.50X71.50X15MM</t>
  </si>
  <si>
    <t>60D-RB-MAT-FOAM-71.50X71.50X15MM</t>
  </si>
  <si>
    <t>PEPSPKORGBW75X30X08-ECOM</t>
  </si>
  <si>
    <t>OEPKBOXSR74.50X29.50X140</t>
  </si>
  <si>
    <t>25D-HELIXA-FOAM-74.50X29.50X15MM</t>
  </si>
  <si>
    <t>60D-RB-MAT-FOAM-74.50X29.50X15MM</t>
  </si>
  <si>
    <t>PEPSPKORGBW75X36X08-ECOM</t>
  </si>
  <si>
    <t>OEPKBOXSR74.50X35.50X140</t>
  </si>
  <si>
    <t>25D-HELIXA-FOAM-74.50X35.50X15MM</t>
  </si>
  <si>
    <t>60D-RB-MAT-FOAM-74.50X35.50X15MM</t>
  </si>
  <si>
    <t>PEPSPKORGBW75X42X08-ECOM</t>
  </si>
  <si>
    <t>OEPKBOXSR74.50X41.50X140</t>
  </si>
  <si>
    <t>25D-HELIXA-FOAM-74.50X41.50X15MM</t>
  </si>
  <si>
    <t>60D-RB-MAT-FOAM-74.50X41.50X15MM</t>
  </si>
  <si>
    <t>PEPSPKORGBW75X48X08-ECOM</t>
  </si>
  <si>
    <t>OEPKBOXSR74.50X47.50X140</t>
  </si>
  <si>
    <t>25D-HELIXA-FOAM-74.50X47.50X15MM</t>
  </si>
  <si>
    <t>60D-RB-MAT-FOAM-74.50X47.50X15MM</t>
  </si>
  <si>
    <t>PEPSPKORGBW75X60X08-ECOM</t>
  </si>
  <si>
    <t>OEPKBOXSR74.50X59.50X140</t>
  </si>
  <si>
    <t>25D-HELIXA-FOAM-74.50X59.50X15MM</t>
  </si>
  <si>
    <t>60D-RB-MAT-FOAM-74.50X59.50X15MM</t>
  </si>
  <si>
    <t>PEPSPKORGBW75X66X08-ECOM</t>
  </si>
  <si>
    <t>OEPKBOXSR74.50X65.50X140</t>
  </si>
  <si>
    <t>25D-HELIXA-FOAM-74.50X65.50X15MM</t>
  </si>
  <si>
    <t>60D-RB-MAT-FOAM-74.50X65.50X15MM</t>
  </si>
  <si>
    <t>PEPSPKORGBW75X72X08-ECOM</t>
  </si>
  <si>
    <t>OEPKBOXSR74.50X71.50X140</t>
  </si>
  <si>
    <t>25D-HELIXA-FOAM-74.50X71.50X15MM</t>
  </si>
  <si>
    <t>60D-RB-MAT-FOAM-74.50X71.50X15MM</t>
  </si>
  <si>
    <t>PEPSPKORGBW78X30X08-ECOM</t>
  </si>
  <si>
    <t>OEPKBOXSR77.50X29.50X140</t>
  </si>
  <si>
    <t>25D-HELIXA-FOAM-77.50X29.50X15MM</t>
  </si>
  <si>
    <t>60D-RB-MAT-FOAM-77.50X29.50X15MM</t>
  </si>
  <si>
    <t>PEPSPKORGBW78X36X08-ECOM</t>
  </si>
  <si>
    <t>OEPKBOXSR77.50X35.50X140</t>
  </si>
  <si>
    <t>25D-HELIXA-FOAM-77.50X35.50X15MM</t>
  </si>
  <si>
    <t>60D-RB-MAT-FOAM-77.50X35.50X15MM</t>
  </si>
  <si>
    <t>PEPSPKORGBW78X42X08-ECOM</t>
  </si>
  <si>
    <t>OEPKBOXSR77.50X41.50X140</t>
  </si>
  <si>
    <t>25D-HELIXA-FOAM-77.50X41.50X15MM</t>
  </si>
  <si>
    <t>60D-RB-MAT-FOAM-77.50X41.50X15MM</t>
  </si>
  <si>
    <t>PEPSPKORGBW78X48X08-ECOM</t>
  </si>
  <si>
    <t>OEPKBOXSR77.50X47.50X140</t>
  </si>
  <si>
    <t>25D-HELIXA-FOAM-77.50X47.50X15MM</t>
  </si>
  <si>
    <t>60D-RB-MAT-FOAM-77.50X47.50X15MM</t>
  </si>
  <si>
    <t>PEPSPKORGBW78X60X08-ECOM</t>
  </si>
  <si>
    <t>OEPKBOXSR77.50X59.50X140</t>
  </si>
  <si>
    <t>25D-HELIXA-FOAM-77.50X59.50X15MM</t>
  </si>
  <si>
    <t>60D-RB-MAT-FOAM-77.50X59.50X15MM</t>
  </si>
  <si>
    <t>PEPSPKORGBW78X66X08-ECOM</t>
  </si>
  <si>
    <t>OEPKBOXSR77.50X65.50X140</t>
  </si>
  <si>
    <t>25D-HELIXA-FOAM-77.50X65.50X15MM</t>
  </si>
  <si>
    <t>60D-RB-MAT-FOAM-77.50X65.50X15MM</t>
  </si>
  <si>
    <t>PEPSPKORGBW78X72X08-ECOM</t>
  </si>
  <si>
    <t>OEPKBOXSR77.50X71.50X140</t>
  </si>
  <si>
    <t>25D-HELIXA-FOAM-77.50X71.50X15MM</t>
  </si>
  <si>
    <t>60D-RB-MAT-FOAM-77.50X71.50X15MM</t>
  </si>
  <si>
    <t>PEPSPKORGBW80X30X08-ECOM</t>
  </si>
  <si>
    <t>OEPKBOXSR79.50X29.50X140</t>
  </si>
  <si>
    <t>25D-HELIXA-FOAM-79.50X29.50X15MM</t>
  </si>
  <si>
    <t>60D-RB-MAT-FOAM-79.50X29.50X15MM</t>
  </si>
  <si>
    <t>PEPSPKORGBW80X36X08-ECOM</t>
  </si>
  <si>
    <t>OEPKBOXSR79.50X35.50X140</t>
  </si>
  <si>
    <t>25D-HELIXA-FOAM-79.50X35.50X15MM</t>
  </si>
  <si>
    <t>60D-RB-MAT-FOAM-79.50X35.50X15MM</t>
  </si>
  <si>
    <t>PEPSPKORGBW80X42X08-ECOM</t>
  </si>
  <si>
    <t>OEPKBOXSR79.50X41.50X140</t>
  </si>
  <si>
    <t>25D-HELIXA-FOAM-79.50X41.50X15MM</t>
  </si>
  <si>
    <t>60D-RB-MAT-FOAM-79.50X41.50X15MM</t>
  </si>
  <si>
    <t>PEPSPKORGBW80X48X08-ECOM</t>
  </si>
  <si>
    <t>OEPKBOXSR79.50X47.50X140</t>
  </si>
  <si>
    <t>25D-HELIXA-FOAM-79.50X47.50X15MM</t>
  </si>
  <si>
    <t>60D-RB-MAT-FOAM-79.50X47.50X15MM</t>
  </si>
  <si>
    <t>PEPSPKORGBW80X60X08-ECOM</t>
  </si>
  <si>
    <t>OEPKBOXSR79.50X59.50X140</t>
  </si>
  <si>
    <t>25D-HELIXA-FOAM-79.50X59.50X15MM</t>
  </si>
  <si>
    <t>60D-RB-MAT-FOAM-79.50X59.50X15MM</t>
  </si>
  <si>
    <t>PEPSPKORGBW80X66X08-ECOM</t>
  </si>
  <si>
    <t>OEPKBOXSR79.50X65.50X140</t>
  </si>
  <si>
    <t>25D-HELIXA-FOAM-79.50X65.50X15MM</t>
  </si>
  <si>
    <t>60D-RB-MAT-FOAM-79.50X65.50X15MM</t>
  </si>
  <si>
    <t>PEPSPKORGBW80X72X08-ECOM</t>
  </si>
  <si>
    <t>OEPKBOXSR79.50X71.50X140</t>
  </si>
  <si>
    <t>25D-HELIXA-FOAM-79.50X71.50X15MM</t>
  </si>
  <si>
    <t>60D-RB-MAT-FOAM-79.50X71.50X15MM</t>
  </si>
  <si>
    <t>PEPSPKORGBW84X30X08-ECOM</t>
  </si>
  <si>
    <t>OEPKBOXSR83.50X29.50X140</t>
  </si>
  <si>
    <t>25D-HELIXA-FOAM-83.50X29.50X15MM</t>
  </si>
  <si>
    <t>60D-RB-MAT-FOAM-83.50X29.50X15MM</t>
  </si>
  <si>
    <t>PEPSPKORGBW84X36X08-ECOM</t>
  </si>
  <si>
    <t>OEPKBOXSR83.50X35.50X140</t>
  </si>
  <si>
    <t>25D-HELIXA-FOAM-83.50X35.50X15MM</t>
  </si>
  <si>
    <t>60D-RB-MAT-FOAM-83.50X35.50X15MM</t>
  </si>
  <si>
    <t>PEPSPKORGBW84X42X08-ECOM</t>
  </si>
  <si>
    <t>OEPKBOXSR83.50X41.50X140</t>
  </si>
  <si>
    <t>25D-HELIXA-FOAM-83.50X41.50X15MM</t>
  </si>
  <si>
    <t>60D-RB-MAT-FOAM-83.50X41.50X15MM</t>
  </si>
  <si>
    <t>PEPSPKORGBW84X48X08-ECOM</t>
  </si>
  <si>
    <t>OEPKBOXSR83.50X47.50X140</t>
  </si>
  <si>
    <t>25D-HELIXA-FOAM-83.50X47.50X15MM</t>
  </si>
  <si>
    <t>60D-RB-MAT-FOAM-83.50X47.50X15MM</t>
  </si>
  <si>
    <t>PEPSPKORGBW84X60X08-ECOM</t>
  </si>
  <si>
    <t>OEPKBOXSR83.50X59.50X140</t>
  </si>
  <si>
    <t>25D-HELIXA-FOAM-83.50X59.50X15MM</t>
  </si>
  <si>
    <t>60D-RB-MAT-FOAM-83.50X59.50X15MM</t>
  </si>
  <si>
    <t>PEPSPKORGBW84X66X08-ECOM</t>
  </si>
  <si>
    <t>OEPKBOXSR83.50X65.50X140</t>
  </si>
  <si>
    <t>25D-HELIXA-FOAM-83.50X65.50X15MM</t>
  </si>
  <si>
    <t>60D-RB-MAT-FOAM-83.50X65.50X15MM</t>
  </si>
  <si>
    <t>PEPSPKORGBW84X72X08-ECOM</t>
  </si>
  <si>
    <t>OEPKBOXSR83.50X71.50X140</t>
  </si>
  <si>
    <t>25D-HELIXA-FOAM-83.50X71.50X15MM</t>
  </si>
  <si>
    <t>60D-RB-MAT-FOAM-83.50X71.50X15MM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</si>
</sst>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0" fontId="1" fillId="0" borderId="1" xfId="0" applyNumberFormat="1" applyFont="1" applyBorder="1" applyAlignment="1">
      <alignment vertical="center"/>
    </xf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:E14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9.28515625" style="11" bestFit="1" customWidth="1"/>
    <col min="5" max="5" width="38.42578125" style="11" customWidth="1"/>
    <col min="6" max="6" width="5.7109375" style="4" bestFit="1" customWidth="1"/>
    <col min="7" max="7" width="10.7109375" style="46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"PEPSPKORGBW"&amp;$K$2&amp;"X"&amp;$L$2&amp;"X08"&amp;"-ECOM"</f>
        <v>PEPSPKORGBW75X36X08-ECOM</v>
      </c>
      <c r="E2" s="1" t="str">
        <f>"OEPKBOXSR"&amp;(K2-0.5)&amp;"0"&amp;"X"&amp;(L2-0.5)&amp;"0"&amp;IF(M2=8,"X140")</f>
        <v>OEPKBOXSR74.50X35.50X140</v>
      </c>
      <c r="F2" s="32" t="s">
        <v>11</v>
      </c>
      <c r="G2" s="42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 t="s">
        <v>100</v>
      </c>
      <c r="P2" s="4">
        <v>8</v>
      </c>
      <c r="R2" s="25" t="s">
        <v>91</v>
      </c>
      <c r="S2" s="25" t="s">
        <v>102</v>
      </c>
      <c r="T2" s="24">
        <v>8</v>
      </c>
      <c r="U2" s="25" t="s">
        <v>100</v>
      </c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14" si="1">"PEPSPKORGBW"&amp;$K$2&amp;"X"&amp;$L$2&amp;"X08"&amp;"-ECOM"</f>
        <v>PEPSPKORGBW75X36X08-ECOM</v>
      </c>
      <c r="E3" s="36" t="s">
        <v>96</v>
      </c>
      <c r="F3" s="28" t="s">
        <v>97</v>
      </c>
      <c r="G3" s="43">
        <f>((K2-1)*(L2-1)/144)*0.00729*4</f>
        <v>0.52447499999999991</v>
      </c>
      <c r="H3" s="10">
        <f t="shared" ref="H3:H5" si="2">ROUND(G3,3)</f>
        <v>0.52400000000000002</v>
      </c>
      <c r="I3" s="32" t="s">
        <v>14</v>
      </c>
      <c r="J3" s="5"/>
      <c r="K3" s="12"/>
      <c r="L3" s="12"/>
      <c r="M3" s="12"/>
      <c r="N3" s="12"/>
      <c r="O3" s="4"/>
      <c r="R3" s="48" t="s">
        <v>91</v>
      </c>
      <c r="S3" s="48" t="s">
        <v>103</v>
      </c>
      <c r="T3" s="24">
        <v>8</v>
      </c>
      <c r="U3" s="25" t="s">
        <v>100</v>
      </c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PEPSPKORGBW75X36X08-ECOM</v>
      </c>
      <c r="E4" s="40" t="s">
        <v>101</v>
      </c>
      <c r="F4" s="28" t="s">
        <v>11</v>
      </c>
      <c r="G4" s="44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5" t="s">
        <v>91</v>
      </c>
      <c r="S4" s="25" t="s">
        <v>104</v>
      </c>
      <c r="T4" s="24">
        <v>8</v>
      </c>
      <c r="U4" s="25" t="s">
        <v>100</v>
      </c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PEPSPKORGBW75X36X08-ECOM</v>
      </c>
      <c r="E5" s="37" t="s">
        <v>98</v>
      </c>
      <c r="F5" s="32" t="s">
        <v>15</v>
      </c>
      <c r="G5" s="44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5" t="s">
        <v>91</v>
      </c>
      <c r="S5" s="25" t="s">
        <v>105</v>
      </c>
      <c r="T5" s="24">
        <v>8</v>
      </c>
      <c r="U5" s="25" t="s">
        <v>100</v>
      </c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si="1"/>
        <v>PEPSPKORGBW75X36X08-ECOM</v>
      </c>
      <c r="E6" s="34" t="s">
        <v>99</v>
      </c>
      <c r="F6" s="32" t="s">
        <v>15</v>
      </c>
      <c r="G6" s="45">
        <f>(K2+L2+4)*2*0.0254*2</f>
        <v>11.683999999999999</v>
      </c>
      <c r="H6" s="10">
        <f t="shared" ref="H6:H8" si="3">ROUND(G6,3)</f>
        <v>11.683999999999999</v>
      </c>
      <c r="I6" s="32" t="s">
        <v>14</v>
      </c>
      <c r="J6" s="8"/>
      <c r="R6" s="25" t="s">
        <v>91</v>
      </c>
      <c r="S6" s="25" t="s">
        <v>106</v>
      </c>
      <c r="T6" s="24">
        <v>8</v>
      </c>
      <c r="U6" s="25" t="s">
        <v>100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PEPSPKORGBW75X36X08-ECOM</v>
      </c>
      <c r="E7" s="34" t="s">
        <v>18</v>
      </c>
      <c r="F7" s="32" t="s">
        <v>15</v>
      </c>
      <c r="G7" s="45">
        <f>(K2+L2+4)*2*0.0254*(4.73+1.42)*2</f>
        <v>71.8566</v>
      </c>
      <c r="H7" s="10">
        <f t="shared" si="3"/>
        <v>71.856999999999999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5" t="s">
        <v>91</v>
      </c>
      <c r="S7" s="25" t="s">
        <v>107</v>
      </c>
      <c r="T7" s="24">
        <v>8</v>
      </c>
      <c r="U7" s="25" t="s">
        <v>100</v>
      </c>
    </row>
    <row r="8" spans="1:21" x14ac:dyDescent="0.25">
      <c r="A8" s="30">
        <v>7</v>
      </c>
      <c r="B8" s="31" t="s">
        <v>19</v>
      </c>
      <c r="C8" s="31" t="s">
        <v>19</v>
      </c>
      <c r="D8" s="7" t="str">
        <f t="shared" si="1"/>
        <v>PEPSPKORGBW75X36X08-ECOM</v>
      </c>
      <c r="E8" s="38" t="s">
        <v>21</v>
      </c>
      <c r="F8" s="32" t="s">
        <v>11</v>
      </c>
      <c r="G8" s="45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5" t="s">
        <v>91</v>
      </c>
      <c r="S8" s="25" t="s">
        <v>91</v>
      </c>
      <c r="T8" s="24">
        <v>8</v>
      </c>
      <c r="U8" s="25" t="s">
        <v>100</v>
      </c>
    </row>
    <row r="9" spans="1:21" x14ac:dyDescent="0.25">
      <c r="A9" s="30">
        <v>8</v>
      </c>
      <c r="B9" s="31" t="s">
        <v>20</v>
      </c>
      <c r="C9" s="34" t="s">
        <v>20</v>
      </c>
      <c r="D9" s="7" t="str">
        <f t="shared" si="1"/>
        <v>PEPSPKORGBW75X36X08-ECOM</v>
      </c>
      <c r="E9" s="34" t="s">
        <v>108</v>
      </c>
      <c r="F9" s="32" t="s">
        <v>11</v>
      </c>
      <c r="G9" s="45">
        <v>4</v>
      </c>
      <c r="H9" s="10">
        <f t="shared" ref="H9:H14" si="4">ROUND(G9,3)</f>
        <v>4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5" t="s">
        <v>92</v>
      </c>
      <c r="S9" s="25" t="s">
        <v>102</v>
      </c>
      <c r="T9" s="24">
        <v>8</v>
      </c>
      <c r="U9" s="25" t="s">
        <v>100</v>
      </c>
    </row>
    <row r="10" spans="1:21" x14ac:dyDescent="0.25">
      <c r="A10" s="30">
        <v>9</v>
      </c>
      <c r="B10" s="31" t="s">
        <v>20</v>
      </c>
      <c r="C10" s="34" t="s">
        <v>20</v>
      </c>
      <c r="D10" s="7" t="str">
        <f t="shared" si="1"/>
        <v>PEPSPKORGBW75X36X08-ECOM</v>
      </c>
      <c r="E10" s="34" t="s">
        <v>22</v>
      </c>
      <c r="F10" s="32" t="s">
        <v>11</v>
      </c>
      <c r="G10" s="45">
        <v>1</v>
      </c>
      <c r="H10" s="10">
        <f t="shared" si="4"/>
        <v>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5" t="s">
        <v>92</v>
      </c>
      <c r="S10" s="25" t="s">
        <v>103</v>
      </c>
      <c r="T10" s="24">
        <v>8</v>
      </c>
      <c r="U10" s="25" t="s">
        <v>100</v>
      </c>
    </row>
    <row r="11" spans="1:21" x14ac:dyDescent="0.25">
      <c r="A11" s="30">
        <v>10</v>
      </c>
      <c r="B11" s="31" t="s">
        <v>20</v>
      </c>
      <c r="C11" s="34" t="s">
        <v>20</v>
      </c>
      <c r="D11" s="7" t="str">
        <f t="shared" si="1"/>
        <v>PEPSPKORGBW75X36X08-ECOM</v>
      </c>
      <c r="E11" s="34" t="s">
        <v>23</v>
      </c>
      <c r="F11" s="32" t="s">
        <v>11</v>
      </c>
      <c r="G11" s="45">
        <v>1</v>
      </c>
      <c r="H11" s="10">
        <f t="shared" si="4"/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5" t="s">
        <v>92</v>
      </c>
      <c r="S11" s="25" t="s">
        <v>104</v>
      </c>
      <c r="T11" s="24">
        <v>8</v>
      </c>
      <c r="U11" s="25" t="s">
        <v>100</v>
      </c>
    </row>
    <row r="12" spans="1:21" x14ac:dyDescent="0.25">
      <c r="A12" s="30">
        <v>11</v>
      </c>
      <c r="B12" s="31" t="s">
        <v>20</v>
      </c>
      <c r="C12" s="34" t="s">
        <v>20</v>
      </c>
      <c r="D12" s="7" t="str">
        <f t="shared" si="1"/>
        <v>PEPSPKORGBW75X36X08-ECOM</v>
      </c>
      <c r="E12" s="29" t="s">
        <v>109</v>
      </c>
      <c r="F12" s="28" t="s">
        <v>13</v>
      </c>
      <c r="G12" s="43">
        <f>(IF(K2&gt;76,(K2*2)+(M2*2),(L2*2)+(M2*2))+4)*89.5*0.0254*0.0254*0.00005*1300</f>
        <v>0.34529608359999991</v>
      </c>
      <c r="H12" s="10">
        <f t="shared" si="4"/>
        <v>0.34499999999999997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5" t="s">
        <v>92</v>
      </c>
      <c r="S12" s="25" t="s">
        <v>105</v>
      </c>
      <c r="T12" s="24">
        <v>8</v>
      </c>
      <c r="U12" s="25" t="s">
        <v>100</v>
      </c>
    </row>
    <row r="13" spans="1:21" x14ac:dyDescent="0.25">
      <c r="A13" s="30">
        <v>12</v>
      </c>
      <c r="B13" s="31" t="s">
        <v>19</v>
      </c>
      <c r="C13" s="31" t="s">
        <v>19</v>
      </c>
      <c r="D13" s="7" t="str">
        <f t="shared" si="1"/>
        <v>PEPSPKORGBW75X36X08-ECOM</v>
      </c>
      <c r="E13" s="35" t="str">
        <f>"25D-HELIXA-FOAM-"&amp;(K2-0.5)&amp;"0"&amp;"X"&amp;(L2-0.5)&amp;"0"&amp;"X"&amp;"15MM"</f>
        <v>25D-HELIXA-FOAM-74.50X35.50X15MM</v>
      </c>
      <c r="F13" s="32" t="s">
        <v>11</v>
      </c>
      <c r="G13" s="45">
        <v>1</v>
      </c>
      <c r="H13" s="10">
        <f t="shared" si="4"/>
        <v>1</v>
      </c>
      <c r="I13" s="33" t="s">
        <v>16</v>
      </c>
      <c r="J13" s="8"/>
      <c r="K13" s="14"/>
      <c r="R13" s="25" t="s">
        <v>92</v>
      </c>
      <c r="S13" s="25" t="s">
        <v>106</v>
      </c>
      <c r="T13" s="24">
        <v>8</v>
      </c>
      <c r="U13" s="25" t="s">
        <v>100</v>
      </c>
    </row>
    <row r="14" spans="1:21" x14ac:dyDescent="0.25">
      <c r="A14" s="30">
        <v>13</v>
      </c>
      <c r="B14" s="31" t="s">
        <v>19</v>
      </c>
      <c r="C14" s="31" t="s">
        <v>19</v>
      </c>
      <c r="D14" s="7" t="str">
        <f t="shared" si="1"/>
        <v>PEPSPKORGBW75X36X08-ECOM</v>
      </c>
      <c r="E14" s="35" t="str">
        <f>"60D-RB-MAT-FOAM-"&amp;(K2-0.5)&amp;"0"&amp;"X"&amp;(L2-0.5)&amp;"0"&amp;"X"&amp;"15MM"</f>
        <v>60D-RB-MAT-FOAM-74.50X35.50X15MM</v>
      </c>
      <c r="F14" s="32" t="s">
        <v>11</v>
      </c>
      <c r="G14" s="45">
        <v>1</v>
      </c>
      <c r="H14" s="10">
        <f t="shared" si="4"/>
        <v>1</v>
      </c>
      <c r="I14" s="33" t="s">
        <v>16</v>
      </c>
      <c r="J14" s="8"/>
      <c r="M14" s="14"/>
      <c r="O14" s="14"/>
      <c r="R14" s="25" t="s">
        <v>92</v>
      </c>
      <c r="S14" s="25" t="s">
        <v>107</v>
      </c>
      <c r="T14" s="24">
        <v>8</v>
      </c>
      <c r="U14" s="25" t="s">
        <v>100</v>
      </c>
    </row>
    <row r="15" spans="1:21" x14ac:dyDescent="0.25">
      <c r="J15" s="8"/>
      <c r="N15"/>
      <c r="O15"/>
      <c r="R15" s="25" t="s">
        <v>92</v>
      </c>
      <c r="S15" s="25" t="s">
        <v>91</v>
      </c>
      <c r="T15" s="24">
        <v>8</v>
      </c>
      <c r="U15" s="25" t="s">
        <v>100</v>
      </c>
    </row>
    <row r="16" spans="1:21" x14ac:dyDescent="0.25">
      <c r="J16" s="8"/>
      <c r="M16" s="14"/>
      <c r="N16"/>
      <c r="O16"/>
      <c r="R16" s="25" t="s">
        <v>93</v>
      </c>
      <c r="S16" s="25" t="s">
        <v>102</v>
      </c>
      <c r="T16" s="24">
        <v>8</v>
      </c>
      <c r="U16" s="25" t="s">
        <v>100</v>
      </c>
    </row>
    <row r="17" spans="5:21" x14ac:dyDescent="0.25">
      <c r="J17" s="8"/>
      <c r="N17"/>
      <c r="O17"/>
      <c r="R17" s="25" t="s">
        <v>93</v>
      </c>
      <c r="S17" s="25" t="s">
        <v>103</v>
      </c>
      <c r="T17" s="24">
        <v>8</v>
      </c>
      <c r="U17" s="25" t="s">
        <v>100</v>
      </c>
    </row>
    <row r="18" spans="5:21" x14ac:dyDescent="0.25">
      <c r="J18" s="8"/>
      <c r="N18"/>
      <c r="O18"/>
      <c r="R18" s="25" t="s">
        <v>93</v>
      </c>
      <c r="S18" s="25" t="s">
        <v>104</v>
      </c>
      <c r="T18" s="24">
        <v>8</v>
      </c>
      <c r="U18" s="25" t="s">
        <v>100</v>
      </c>
    </row>
    <row r="19" spans="5:21" x14ac:dyDescent="0.25">
      <c r="J19" s="8"/>
      <c r="N19"/>
      <c r="O19"/>
      <c r="R19" s="25" t="s">
        <v>93</v>
      </c>
      <c r="S19" s="25" t="s">
        <v>105</v>
      </c>
      <c r="T19" s="24">
        <v>8</v>
      </c>
      <c r="U19" s="25" t="s">
        <v>100</v>
      </c>
    </row>
    <row r="20" spans="5:21" x14ac:dyDescent="0.25">
      <c r="J20" s="8"/>
      <c r="N20" s="23"/>
      <c r="O20"/>
      <c r="R20" s="25" t="s">
        <v>93</v>
      </c>
      <c r="S20" s="25" t="s">
        <v>106</v>
      </c>
      <c r="T20" s="24">
        <v>8</v>
      </c>
      <c r="U20" s="25" t="s">
        <v>100</v>
      </c>
    </row>
    <row r="21" spans="5:21" x14ac:dyDescent="0.25">
      <c r="E21" s="39"/>
      <c r="J21" s="8"/>
      <c r="N21"/>
      <c r="O21"/>
      <c r="R21" s="25" t="s">
        <v>93</v>
      </c>
      <c r="S21" s="25" t="s">
        <v>107</v>
      </c>
      <c r="T21" s="24">
        <v>8</v>
      </c>
      <c r="U21" s="25" t="s">
        <v>100</v>
      </c>
    </row>
    <row r="22" spans="5:21" x14ac:dyDescent="0.25">
      <c r="E22" s="39"/>
      <c r="J22" s="8"/>
      <c r="N22"/>
      <c r="O22"/>
      <c r="R22" s="25" t="s">
        <v>93</v>
      </c>
      <c r="S22" s="25" t="s">
        <v>91</v>
      </c>
      <c r="T22" s="24">
        <v>8</v>
      </c>
      <c r="U22" s="25" t="s">
        <v>100</v>
      </c>
    </row>
    <row r="23" spans="5:21" x14ac:dyDescent="0.25">
      <c r="J23" s="9"/>
      <c r="K23" s="13"/>
      <c r="L23" s="13"/>
      <c r="M23" s="13"/>
      <c r="N23"/>
      <c r="O23"/>
      <c r="P23" s="13"/>
      <c r="Q23" s="13"/>
      <c r="R23" s="25" t="s">
        <v>94</v>
      </c>
      <c r="S23" s="25" t="s">
        <v>102</v>
      </c>
      <c r="T23" s="24">
        <v>8</v>
      </c>
      <c r="U23" s="25" t="s">
        <v>100</v>
      </c>
    </row>
    <row r="24" spans="5:21" x14ac:dyDescent="0.25">
      <c r="J24" s="9"/>
      <c r="K24" s="13"/>
      <c r="L24" s="13"/>
      <c r="M24" s="13"/>
      <c r="N24" s="23"/>
      <c r="O24"/>
      <c r="P24" s="13"/>
      <c r="Q24" s="13"/>
      <c r="R24" s="25" t="s">
        <v>94</v>
      </c>
      <c r="S24" s="25" t="s">
        <v>103</v>
      </c>
      <c r="T24" s="24">
        <v>8</v>
      </c>
      <c r="U24" s="25" t="s">
        <v>100</v>
      </c>
    </row>
    <row r="25" spans="5:21" x14ac:dyDescent="0.25">
      <c r="N25"/>
      <c r="O25"/>
      <c r="R25" s="25" t="s">
        <v>94</v>
      </c>
      <c r="S25" s="25" t="s">
        <v>104</v>
      </c>
      <c r="T25" s="24">
        <v>8</v>
      </c>
      <c r="U25" s="25" t="s">
        <v>100</v>
      </c>
    </row>
    <row r="26" spans="5:21" x14ac:dyDescent="0.25">
      <c r="N26"/>
      <c r="O26"/>
      <c r="R26" s="25" t="s">
        <v>94</v>
      </c>
      <c r="S26" s="25" t="s">
        <v>105</v>
      </c>
      <c r="T26" s="24">
        <v>8</v>
      </c>
      <c r="U26" s="25" t="s">
        <v>100</v>
      </c>
    </row>
    <row r="27" spans="5:21" x14ac:dyDescent="0.25">
      <c r="G27" s="47"/>
      <c r="I27" s="14"/>
      <c r="N27"/>
      <c r="O27"/>
      <c r="R27" s="25" t="s">
        <v>94</v>
      </c>
      <c r="S27" s="25" t="s">
        <v>106</v>
      </c>
      <c r="T27" s="24">
        <v>8</v>
      </c>
      <c r="U27" s="25" t="s">
        <v>100</v>
      </c>
    </row>
    <row r="28" spans="5:21" x14ac:dyDescent="0.25">
      <c r="E28" s="14"/>
      <c r="I28" s="14"/>
      <c r="M28" s="14"/>
      <c r="N28"/>
      <c r="O28"/>
      <c r="R28" s="25" t="s">
        <v>94</v>
      </c>
      <c r="S28" s="25" t="s">
        <v>107</v>
      </c>
      <c r="T28" s="24">
        <v>8</v>
      </c>
      <c r="U28" s="25" t="s">
        <v>100</v>
      </c>
    </row>
    <row r="29" spans="5:21" x14ac:dyDescent="0.25">
      <c r="E29" s="14"/>
      <c r="N29"/>
      <c r="O29"/>
      <c r="R29" s="25" t="s">
        <v>94</v>
      </c>
      <c r="S29" s="25" t="s">
        <v>91</v>
      </c>
      <c r="T29" s="24">
        <v>8</v>
      </c>
      <c r="U29" s="25" t="s">
        <v>100</v>
      </c>
    </row>
    <row r="30" spans="5:21" x14ac:dyDescent="0.25">
      <c r="H30" s="14"/>
      <c r="N30"/>
      <c r="O30"/>
      <c r="R30" s="25" t="s">
        <v>95</v>
      </c>
      <c r="S30" s="25" t="s">
        <v>102</v>
      </c>
      <c r="T30" s="24">
        <v>8</v>
      </c>
      <c r="U30" s="25" t="s">
        <v>100</v>
      </c>
    </row>
    <row r="31" spans="5:21" x14ac:dyDescent="0.25">
      <c r="N31"/>
      <c r="O31"/>
      <c r="R31" s="25" t="s">
        <v>95</v>
      </c>
      <c r="S31" s="25" t="s">
        <v>103</v>
      </c>
      <c r="T31" s="24">
        <v>8</v>
      </c>
      <c r="U31" s="25" t="s">
        <v>100</v>
      </c>
    </row>
    <row r="32" spans="5:21" x14ac:dyDescent="0.25">
      <c r="N32"/>
      <c r="O32"/>
      <c r="R32" s="25" t="s">
        <v>95</v>
      </c>
      <c r="S32" s="25" t="s">
        <v>104</v>
      </c>
      <c r="T32" s="24">
        <v>8</v>
      </c>
      <c r="U32" s="25" t="s">
        <v>100</v>
      </c>
    </row>
    <row r="33" spans="14:21" x14ac:dyDescent="0.25">
      <c r="N33"/>
      <c r="O33"/>
      <c r="R33" s="25" t="s">
        <v>95</v>
      </c>
      <c r="S33" s="25" t="s">
        <v>105</v>
      </c>
      <c r="T33" s="24">
        <v>8</v>
      </c>
      <c r="U33" s="25" t="s">
        <v>100</v>
      </c>
    </row>
    <row r="34" spans="14:21" x14ac:dyDescent="0.25">
      <c r="N34"/>
      <c r="O34"/>
      <c r="R34" s="25" t="s">
        <v>95</v>
      </c>
      <c r="S34" s="25" t="s">
        <v>106</v>
      </c>
      <c r="T34" s="24">
        <v>8</v>
      </c>
      <c r="U34" s="25" t="s">
        <v>100</v>
      </c>
    </row>
    <row r="35" spans="14:21" x14ac:dyDescent="0.25">
      <c r="N35"/>
      <c r="O35"/>
      <c r="R35" s="25" t="s">
        <v>95</v>
      </c>
      <c r="S35" s="25" t="s">
        <v>107</v>
      </c>
      <c r="T35" s="24">
        <v>8</v>
      </c>
      <c r="U35" s="25" t="s">
        <v>100</v>
      </c>
    </row>
    <row r="36" spans="14:21" x14ac:dyDescent="0.25">
      <c r="N36"/>
      <c r="O36"/>
      <c r="R36" s="25" t="s">
        <v>95</v>
      </c>
      <c r="S36" s="25" t="s">
        <v>91</v>
      </c>
      <c r="T36" s="24">
        <v>8</v>
      </c>
      <c r="U36" s="25" t="s">
        <v>100</v>
      </c>
    </row>
    <row r="37" spans="14:21" x14ac:dyDescent="0.25">
      <c r="N37"/>
      <c r="O37"/>
      <c r="R37" s="24"/>
      <c r="S37" s="24"/>
      <c r="T37" s="24"/>
      <c r="U37" s="25"/>
    </row>
    <row r="38" spans="14:21" x14ac:dyDescent="0.25">
      <c r="N38"/>
      <c r="O38"/>
      <c r="R38" s="24"/>
      <c r="S38" s="24"/>
      <c r="T38" s="24"/>
      <c r="U38" s="25"/>
    </row>
    <row r="39" spans="14:21" x14ac:dyDescent="0.25">
      <c r="N39"/>
      <c r="O39"/>
      <c r="R39" s="24"/>
      <c r="S39" s="24"/>
      <c r="T39" s="24"/>
      <c r="U39" s="25"/>
    </row>
    <row r="40" spans="14:21" x14ac:dyDescent="0.25">
      <c r="N40"/>
      <c r="O40"/>
      <c r="R40" s="24"/>
      <c r="S40" s="24"/>
      <c r="T40" s="24"/>
      <c r="U40" s="25"/>
    </row>
    <row r="41" spans="14:21" x14ac:dyDescent="0.25">
      <c r="N41"/>
      <c r="O41"/>
      <c r="R41" s="24"/>
      <c r="S41" s="24"/>
      <c r="T41" s="24"/>
      <c r="U41" s="25"/>
    </row>
    <row r="42" spans="14:21" x14ac:dyDescent="0.25">
      <c r="N42"/>
      <c r="O42"/>
    </row>
    <row r="43" spans="14:21" x14ac:dyDescent="0.25">
      <c r="N43"/>
      <c r="O43"/>
    </row>
    <row r="44" spans="14:21" x14ac:dyDescent="0.25">
      <c r="N44"/>
      <c r="O44"/>
    </row>
    <row r="45" spans="14:21" x14ac:dyDescent="0.25">
      <c r="N45"/>
      <c r="O45"/>
    </row>
    <row r="46" spans="14:21" x14ac:dyDescent="0.25">
      <c r="N46"/>
      <c r="O46"/>
    </row>
    <row r="47" spans="14:21" x14ac:dyDescent="0.25">
      <c r="N47"/>
      <c r="O47"/>
    </row>
    <row r="48" spans="14:21" x14ac:dyDescent="0.25">
      <c r="N48"/>
      <c r="O48"/>
    </row>
    <row r="49" spans="14:15" x14ac:dyDescent="0.25">
      <c r="N49"/>
      <c r="O49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5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110</v>
      </c>
      <c r="C2">
        <v>10</v>
      </c>
      <c r="D2" t="s">
        <v>111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110</v>
      </c>
      <c r="C3">
        <v>20</v>
      </c>
      <c r="D3" t="s">
        <v>96</v>
      </c>
      <c r="E3" t="s">
        <v>97</v>
      </c>
      <c r="F3">
        <v>0.41699999999999998</v>
      </c>
      <c r="G3" t="s">
        <v>14</v>
      </c>
    </row>
    <row r="4" spans="1:7" x14ac:dyDescent="0.25">
      <c r="A4">
        <v>1</v>
      </c>
      <c r="B4" t="s">
        <v>110</v>
      </c>
      <c r="C4">
        <v>30</v>
      </c>
      <c r="D4" t="s">
        <v>101</v>
      </c>
      <c r="E4" t="s">
        <v>11</v>
      </c>
      <c r="F4">
        <v>0.78700000000000003</v>
      </c>
      <c r="G4" t="s">
        <v>16</v>
      </c>
    </row>
    <row r="5" spans="1:7" x14ac:dyDescent="0.25">
      <c r="A5">
        <v>1</v>
      </c>
      <c r="B5" t="s">
        <v>110</v>
      </c>
      <c r="C5">
        <v>40</v>
      </c>
      <c r="D5" t="s">
        <v>98</v>
      </c>
      <c r="E5" t="s">
        <v>15</v>
      </c>
      <c r="F5">
        <v>0.78700000000000003</v>
      </c>
      <c r="G5" t="s">
        <v>16</v>
      </c>
    </row>
    <row r="6" spans="1:7" x14ac:dyDescent="0.25">
      <c r="A6">
        <v>1</v>
      </c>
      <c r="B6" t="s">
        <v>110</v>
      </c>
      <c r="C6">
        <v>50</v>
      </c>
      <c r="D6" t="s">
        <v>99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110</v>
      </c>
      <c r="C7">
        <v>60</v>
      </c>
      <c r="D7" t="s">
        <v>18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110</v>
      </c>
      <c r="C8">
        <v>70</v>
      </c>
      <c r="D8" t="s">
        <v>21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110</v>
      </c>
      <c r="C9">
        <v>80</v>
      </c>
      <c r="D9" t="s">
        <v>108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110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110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110</v>
      </c>
      <c r="C12">
        <v>110</v>
      </c>
      <c r="D12" t="s">
        <v>109</v>
      </c>
      <c r="E12" t="s">
        <v>13</v>
      </c>
      <c r="F12">
        <v>0.3</v>
      </c>
      <c r="G12" t="s">
        <v>14</v>
      </c>
    </row>
    <row r="13" spans="1:7" x14ac:dyDescent="0.25">
      <c r="A13">
        <v>1</v>
      </c>
      <c r="B13" t="s">
        <v>110</v>
      </c>
      <c r="C13">
        <v>120</v>
      </c>
      <c r="D13" t="s">
        <v>112</v>
      </c>
      <c r="E13" t="s">
        <v>11</v>
      </c>
      <c r="F13">
        <v>1</v>
      </c>
      <c r="G13" t="s">
        <v>16</v>
      </c>
    </row>
    <row r="14" spans="1:7" x14ac:dyDescent="0.25">
      <c r="A14">
        <v>1</v>
      </c>
      <c r="B14" t="s">
        <v>110</v>
      </c>
      <c r="C14">
        <v>130</v>
      </c>
      <c r="D14" t="s">
        <v>113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115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96</v>
      </c>
      <c r="E16" t="s">
        <v>97</v>
      </c>
      <c r="F16">
        <v>0.503</v>
      </c>
      <c r="G16" t="s">
        <v>14</v>
      </c>
    </row>
    <row r="17" spans="1:7" x14ac:dyDescent="0.25">
      <c r="A17">
        <v>2</v>
      </c>
      <c r="B17" t="s">
        <v>114</v>
      </c>
      <c r="C17">
        <v>30</v>
      </c>
      <c r="D17" t="s">
        <v>101</v>
      </c>
      <c r="E17" t="s">
        <v>11</v>
      </c>
      <c r="F17">
        <v>0.94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98</v>
      </c>
      <c r="E18" t="s">
        <v>15</v>
      </c>
      <c r="F18">
        <v>0.94</v>
      </c>
      <c r="G18" t="s">
        <v>16</v>
      </c>
    </row>
    <row r="19" spans="1:7" x14ac:dyDescent="0.25">
      <c r="A19">
        <v>2</v>
      </c>
      <c r="B19" t="s">
        <v>114</v>
      </c>
      <c r="C19">
        <v>50</v>
      </c>
      <c r="D19" t="s">
        <v>99</v>
      </c>
      <c r="E19" t="s">
        <v>15</v>
      </c>
      <c r="F19">
        <v>11.379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18</v>
      </c>
      <c r="E20" t="s">
        <v>15</v>
      </c>
      <c r="F20">
        <v>69.981999999999999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108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109</v>
      </c>
      <c r="E25" t="s">
        <v>13</v>
      </c>
      <c r="F25">
        <v>0.34499999999999997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116</v>
      </c>
      <c r="E26" t="s">
        <v>11</v>
      </c>
      <c r="F26">
        <v>1</v>
      </c>
      <c r="G26" t="s">
        <v>16</v>
      </c>
    </row>
    <row r="27" spans="1:7" x14ac:dyDescent="0.25">
      <c r="A27">
        <v>2</v>
      </c>
      <c r="B27" t="s">
        <v>114</v>
      </c>
      <c r="C27">
        <v>130</v>
      </c>
      <c r="D27" t="s">
        <v>117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118</v>
      </c>
      <c r="C28">
        <v>10</v>
      </c>
      <c r="D28" t="s">
        <v>119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118</v>
      </c>
      <c r="C29">
        <v>20</v>
      </c>
      <c r="D29" t="s">
        <v>96</v>
      </c>
      <c r="E29" t="s">
        <v>97</v>
      </c>
      <c r="F29">
        <v>0.58899999999999997</v>
      </c>
      <c r="G29" t="s">
        <v>14</v>
      </c>
    </row>
    <row r="30" spans="1:7" x14ac:dyDescent="0.25">
      <c r="A30">
        <v>3</v>
      </c>
      <c r="B30" t="s">
        <v>118</v>
      </c>
      <c r="C30">
        <v>30</v>
      </c>
      <c r="D30" t="s">
        <v>101</v>
      </c>
      <c r="E30" t="s">
        <v>11</v>
      </c>
      <c r="F30">
        <v>1.0920000000000001</v>
      </c>
      <c r="G30" t="s">
        <v>16</v>
      </c>
    </row>
    <row r="31" spans="1:7" x14ac:dyDescent="0.25">
      <c r="A31">
        <v>3</v>
      </c>
      <c r="B31" t="s">
        <v>118</v>
      </c>
      <c r="C31">
        <v>40</v>
      </c>
      <c r="D31" t="s">
        <v>98</v>
      </c>
      <c r="E31" t="s">
        <v>15</v>
      </c>
      <c r="F31">
        <v>1.0920000000000001</v>
      </c>
      <c r="G31" t="s">
        <v>16</v>
      </c>
    </row>
    <row r="32" spans="1:7" x14ac:dyDescent="0.25">
      <c r="A32">
        <v>3</v>
      </c>
      <c r="B32" t="s">
        <v>118</v>
      </c>
      <c r="C32">
        <v>50</v>
      </c>
      <c r="D32" t="s">
        <v>99</v>
      </c>
      <c r="E32" t="s">
        <v>15</v>
      </c>
      <c r="F32">
        <v>11.989000000000001</v>
      </c>
      <c r="G32" t="s">
        <v>14</v>
      </c>
    </row>
    <row r="33" spans="1:7" x14ac:dyDescent="0.25">
      <c r="A33">
        <v>3</v>
      </c>
      <c r="B33" t="s">
        <v>118</v>
      </c>
      <c r="C33">
        <v>60</v>
      </c>
      <c r="D33" t="s">
        <v>18</v>
      </c>
      <c r="E33" t="s">
        <v>15</v>
      </c>
      <c r="F33">
        <v>73.730999999999995</v>
      </c>
      <c r="G33" t="s">
        <v>14</v>
      </c>
    </row>
    <row r="34" spans="1:7" x14ac:dyDescent="0.25">
      <c r="A34">
        <v>3</v>
      </c>
      <c r="B34" t="s">
        <v>118</v>
      </c>
      <c r="C34">
        <v>70</v>
      </c>
      <c r="D34" t="s">
        <v>21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118</v>
      </c>
      <c r="C35">
        <v>80</v>
      </c>
      <c r="D35" t="s">
        <v>108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118</v>
      </c>
      <c r="C36">
        <v>90</v>
      </c>
      <c r="D36" t="s">
        <v>22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118</v>
      </c>
      <c r="C37">
        <v>100</v>
      </c>
      <c r="D37" t="s">
        <v>23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118</v>
      </c>
      <c r="C38">
        <v>110</v>
      </c>
      <c r="D38" t="s">
        <v>109</v>
      </c>
      <c r="E38" t="s">
        <v>13</v>
      </c>
      <c r="F38">
        <v>0.39</v>
      </c>
      <c r="G38" t="s">
        <v>14</v>
      </c>
    </row>
    <row r="39" spans="1:7" x14ac:dyDescent="0.25">
      <c r="A39">
        <v>3</v>
      </c>
      <c r="B39" t="s">
        <v>118</v>
      </c>
      <c r="C39">
        <v>120</v>
      </c>
      <c r="D39" t="s">
        <v>120</v>
      </c>
      <c r="E39" t="s">
        <v>11</v>
      </c>
      <c r="F39">
        <v>1</v>
      </c>
      <c r="G39" t="s">
        <v>16</v>
      </c>
    </row>
    <row r="40" spans="1:7" x14ac:dyDescent="0.25">
      <c r="A40">
        <v>3</v>
      </c>
      <c r="B40" t="s">
        <v>118</v>
      </c>
      <c r="C40">
        <v>130</v>
      </c>
      <c r="D40" t="s">
        <v>121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122</v>
      </c>
      <c r="C41">
        <v>10</v>
      </c>
      <c r="D41" t="s">
        <v>123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122</v>
      </c>
      <c r="C42">
        <v>20</v>
      </c>
      <c r="D42" t="s">
        <v>96</v>
      </c>
      <c r="E42" t="s">
        <v>97</v>
      </c>
      <c r="F42">
        <v>0.67600000000000005</v>
      </c>
      <c r="G42" t="s">
        <v>14</v>
      </c>
    </row>
    <row r="43" spans="1:7" x14ac:dyDescent="0.25">
      <c r="A43">
        <v>4</v>
      </c>
      <c r="B43" t="s">
        <v>122</v>
      </c>
      <c r="C43">
        <v>30</v>
      </c>
      <c r="D43" t="s">
        <v>101</v>
      </c>
      <c r="E43" t="s">
        <v>11</v>
      </c>
      <c r="F43">
        <v>1.2450000000000001</v>
      </c>
      <c r="G43" t="s">
        <v>16</v>
      </c>
    </row>
    <row r="44" spans="1:7" x14ac:dyDescent="0.25">
      <c r="A44">
        <v>4</v>
      </c>
      <c r="B44" t="s">
        <v>122</v>
      </c>
      <c r="C44">
        <v>40</v>
      </c>
      <c r="D44" t="s">
        <v>98</v>
      </c>
      <c r="E44" t="s">
        <v>15</v>
      </c>
      <c r="F44">
        <v>1.2450000000000001</v>
      </c>
      <c r="G44" t="s">
        <v>16</v>
      </c>
    </row>
    <row r="45" spans="1:7" x14ac:dyDescent="0.25">
      <c r="A45">
        <v>4</v>
      </c>
      <c r="B45" t="s">
        <v>122</v>
      </c>
      <c r="C45">
        <v>50</v>
      </c>
      <c r="D45" t="s">
        <v>99</v>
      </c>
      <c r="E45" t="s">
        <v>15</v>
      </c>
      <c r="F45">
        <v>12.598000000000001</v>
      </c>
      <c r="G45" t="s">
        <v>14</v>
      </c>
    </row>
    <row r="46" spans="1:7" x14ac:dyDescent="0.25">
      <c r="A46">
        <v>4</v>
      </c>
      <c r="B46" t="s">
        <v>122</v>
      </c>
      <c r="C46">
        <v>60</v>
      </c>
      <c r="D46" t="s">
        <v>18</v>
      </c>
      <c r="E46" t="s">
        <v>15</v>
      </c>
      <c r="F46">
        <v>77.48</v>
      </c>
      <c r="G46" t="s">
        <v>14</v>
      </c>
    </row>
    <row r="47" spans="1:7" x14ac:dyDescent="0.25">
      <c r="A47">
        <v>4</v>
      </c>
      <c r="B47" t="s">
        <v>122</v>
      </c>
      <c r="C47">
        <v>70</v>
      </c>
      <c r="D47" t="s">
        <v>21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122</v>
      </c>
      <c r="C48">
        <v>80</v>
      </c>
      <c r="D48" t="s">
        <v>108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122</v>
      </c>
      <c r="C49">
        <v>90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122</v>
      </c>
      <c r="C50">
        <v>100</v>
      </c>
      <c r="D50" t="s">
        <v>23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122</v>
      </c>
      <c r="C51">
        <v>110</v>
      </c>
      <c r="D51" t="s">
        <v>109</v>
      </c>
      <c r="E51" t="s">
        <v>13</v>
      </c>
      <c r="F51">
        <v>0.435</v>
      </c>
      <c r="G51" t="s">
        <v>14</v>
      </c>
    </row>
    <row r="52" spans="1:7" x14ac:dyDescent="0.25">
      <c r="A52">
        <v>4</v>
      </c>
      <c r="B52" t="s">
        <v>122</v>
      </c>
      <c r="C52">
        <v>120</v>
      </c>
      <c r="D52" t="s">
        <v>124</v>
      </c>
      <c r="E52" t="s">
        <v>11</v>
      </c>
      <c r="F52">
        <v>1</v>
      </c>
      <c r="G52" t="s">
        <v>16</v>
      </c>
    </row>
    <row r="53" spans="1:7" x14ac:dyDescent="0.25">
      <c r="A53">
        <v>4</v>
      </c>
      <c r="B53" t="s">
        <v>122</v>
      </c>
      <c r="C53">
        <v>130</v>
      </c>
      <c r="D53" t="s">
        <v>125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126</v>
      </c>
      <c r="C54">
        <v>10</v>
      </c>
      <c r="D54" t="s">
        <v>127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126</v>
      </c>
      <c r="C55">
        <v>20</v>
      </c>
      <c r="D55" t="s">
        <v>96</v>
      </c>
      <c r="E55" t="s">
        <v>97</v>
      </c>
      <c r="F55">
        <v>0.84799999999999998</v>
      </c>
      <c r="G55" t="s">
        <v>14</v>
      </c>
    </row>
    <row r="56" spans="1:7" x14ac:dyDescent="0.25">
      <c r="A56">
        <v>5</v>
      </c>
      <c r="B56" t="s">
        <v>126</v>
      </c>
      <c r="C56">
        <v>30</v>
      </c>
      <c r="D56" t="s">
        <v>101</v>
      </c>
      <c r="E56" t="s">
        <v>11</v>
      </c>
      <c r="F56">
        <v>1.5489999999999999</v>
      </c>
      <c r="G56" t="s">
        <v>16</v>
      </c>
    </row>
    <row r="57" spans="1:7" x14ac:dyDescent="0.25">
      <c r="A57">
        <v>5</v>
      </c>
      <c r="B57" t="s">
        <v>126</v>
      </c>
      <c r="C57">
        <v>40</v>
      </c>
      <c r="D57" t="s">
        <v>98</v>
      </c>
      <c r="E57" t="s">
        <v>15</v>
      </c>
      <c r="F57">
        <v>1.5489999999999999</v>
      </c>
      <c r="G57" t="s">
        <v>16</v>
      </c>
    </row>
    <row r="58" spans="1:7" x14ac:dyDescent="0.25">
      <c r="A58">
        <v>5</v>
      </c>
      <c r="B58" t="s">
        <v>126</v>
      </c>
      <c r="C58">
        <v>50</v>
      </c>
      <c r="D58" t="s">
        <v>99</v>
      </c>
      <c r="E58" t="s">
        <v>15</v>
      </c>
      <c r="F58">
        <v>13.818</v>
      </c>
      <c r="G58" t="s">
        <v>14</v>
      </c>
    </row>
    <row r="59" spans="1:7" x14ac:dyDescent="0.25">
      <c r="A59">
        <v>5</v>
      </c>
      <c r="B59" t="s">
        <v>126</v>
      </c>
      <c r="C59">
        <v>60</v>
      </c>
      <c r="D59" t="s">
        <v>18</v>
      </c>
      <c r="E59" t="s">
        <v>15</v>
      </c>
      <c r="F59">
        <v>84.977999999999994</v>
      </c>
      <c r="G59" t="s">
        <v>14</v>
      </c>
    </row>
    <row r="60" spans="1:7" x14ac:dyDescent="0.25">
      <c r="A60">
        <v>5</v>
      </c>
      <c r="B60" t="s">
        <v>126</v>
      </c>
      <c r="C60">
        <v>70</v>
      </c>
      <c r="D60" t="s">
        <v>21</v>
      </c>
      <c r="E60" t="s">
        <v>11</v>
      </c>
      <c r="F60">
        <v>1</v>
      </c>
      <c r="G60" t="s">
        <v>14</v>
      </c>
    </row>
    <row r="61" spans="1:7" x14ac:dyDescent="0.25">
      <c r="A61">
        <v>5</v>
      </c>
      <c r="B61" t="s">
        <v>126</v>
      </c>
      <c r="C61">
        <v>80</v>
      </c>
      <c r="D61" t="s">
        <v>108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126</v>
      </c>
      <c r="C62">
        <v>90</v>
      </c>
      <c r="D62" t="s">
        <v>22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126</v>
      </c>
      <c r="C63">
        <v>100</v>
      </c>
      <c r="D63" t="s">
        <v>23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126</v>
      </c>
      <c r="C64">
        <v>110</v>
      </c>
      <c r="D64" t="s">
        <v>109</v>
      </c>
      <c r="E64" t="s">
        <v>13</v>
      </c>
      <c r="F64">
        <v>0.52500000000000002</v>
      </c>
      <c r="G64" t="s">
        <v>14</v>
      </c>
    </row>
    <row r="65" spans="1:7" x14ac:dyDescent="0.25">
      <c r="A65">
        <v>5</v>
      </c>
      <c r="B65" t="s">
        <v>126</v>
      </c>
      <c r="C65">
        <v>120</v>
      </c>
      <c r="D65" t="s">
        <v>128</v>
      </c>
      <c r="E65" t="s">
        <v>11</v>
      </c>
      <c r="F65">
        <v>1</v>
      </c>
      <c r="G65" t="s">
        <v>16</v>
      </c>
    </row>
    <row r="66" spans="1:7" x14ac:dyDescent="0.25">
      <c r="A66">
        <v>5</v>
      </c>
      <c r="B66" t="s">
        <v>126</v>
      </c>
      <c r="C66">
        <v>130</v>
      </c>
      <c r="D66" t="s">
        <v>129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130</v>
      </c>
      <c r="C67">
        <v>10</v>
      </c>
      <c r="D67" t="s">
        <v>131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130</v>
      </c>
      <c r="C68">
        <v>20</v>
      </c>
      <c r="D68" t="s">
        <v>96</v>
      </c>
      <c r="E68" t="s">
        <v>97</v>
      </c>
      <c r="F68">
        <v>0.93500000000000005</v>
      </c>
      <c r="G68" t="s">
        <v>14</v>
      </c>
    </row>
    <row r="69" spans="1:7" x14ac:dyDescent="0.25">
      <c r="A69">
        <v>6</v>
      </c>
      <c r="B69" t="s">
        <v>130</v>
      </c>
      <c r="C69">
        <v>30</v>
      </c>
      <c r="D69" t="s">
        <v>101</v>
      </c>
      <c r="E69" t="s">
        <v>11</v>
      </c>
      <c r="F69">
        <v>1.702</v>
      </c>
      <c r="G69" t="s">
        <v>16</v>
      </c>
    </row>
    <row r="70" spans="1:7" x14ac:dyDescent="0.25">
      <c r="A70">
        <v>6</v>
      </c>
      <c r="B70" t="s">
        <v>130</v>
      </c>
      <c r="C70">
        <v>40</v>
      </c>
      <c r="D70" t="s">
        <v>98</v>
      </c>
      <c r="E70" t="s">
        <v>15</v>
      </c>
      <c r="F70">
        <v>1.702</v>
      </c>
      <c r="G70" t="s">
        <v>16</v>
      </c>
    </row>
    <row r="71" spans="1:7" x14ac:dyDescent="0.25">
      <c r="A71">
        <v>6</v>
      </c>
      <c r="B71" t="s">
        <v>130</v>
      </c>
      <c r="C71">
        <v>50</v>
      </c>
      <c r="D71" t="s">
        <v>99</v>
      </c>
      <c r="E71" t="s">
        <v>15</v>
      </c>
      <c r="F71">
        <v>14.427</v>
      </c>
      <c r="G71" t="s">
        <v>14</v>
      </c>
    </row>
    <row r="72" spans="1:7" x14ac:dyDescent="0.25">
      <c r="A72">
        <v>6</v>
      </c>
      <c r="B72" t="s">
        <v>130</v>
      </c>
      <c r="C72">
        <v>60</v>
      </c>
      <c r="D72" t="s">
        <v>18</v>
      </c>
      <c r="E72" t="s">
        <v>15</v>
      </c>
      <c r="F72">
        <v>88.727000000000004</v>
      </c>
      <c r="G72" t="s">
        <v>14</v>
      </c>
    </row>
    <row r="73" spans="1:7" x14ac:dyDescent="0.25">
      <c r="A73">
        <v>6</v>
      </c>
      <c r="B73" t="s">
        <v>130</v>
      </c>
      <c r="C73">
        <v>70</v>
      </c>
      <c r="D73" t="s">
        <v>21</v>
      </c>
      <c r="E73" t="s">
        <v>11</v>
      </c>
      <c r="F73">
        <v>1</v>
      </c>
      <c r="G73" t="s">
        <v>14</v>
      </c>
    </row>
    <row r="74" spans="1:7" x14ac:dyDescent="0.25">
      <c r="A74">
        <v>6</v>
      </c>
      <c r="B74" t="s">
        <v>130</v>
      </c>
      <c r="C74">
        <v>80</v>
      </c>
      <c r="D74" t="s">
        <v>108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130</v>
      </c>
      <c r="C75">
        <v>90</v>
      </c>
      <c r="D75" t="s">
        <v>22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130</v>
      </c>
      <c r="C76">
        <v>100</v>
      </c>
      <c r="D76" t="s">
        <v>23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130</v>
      </c>
      <c r="C77">
        <v>110</v>
      </c>
      <c r="D77" t="s">
        <v>109</v>
      </c>
      <c r="E77" t="s">
        <v>13</v>
      </c>
      <c r="F77">
        <v>0.56999999999999995</v>
      </c>
      <c r="G77" t="s">
        <v>14</v>
      </c>
    </row>
    <row r="78" spans="1:7" x14ac:dyDescent="0.25">
      <c r="A78">
        <v>6</v>
      </c>
      <c r="B78" t="s">
        <v>130</v>
      </c>
      <c r="C78">
        <v>120</v>
      </c>
      <c r="D78" t="s">
        <v>132</v>
      </c>
      <c r="E78" t="s">
        <v>11</v>
      </c>
      <c r="F78">
        <v>1</v>
      </c>
      <c r="G78" t="s">
        <v>16</v>
      </c>
    </row>
    <row r="79" spans="1:7" x14ac:dyDescent="0.25">
      <c r="A79">
        <v>6</v>
      </c>
      <c r="B79" t="s">
        <v>130</v>
      </c>
      <c r="C79">
        <v>130</v>
      </c>
      <c r="D79" t="s">
        <v>133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134</v>
      </c>
      <c r="C80">
        <v>10</v>
      </c>
      <c r="D80" t="s">
        <v>135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134</v>
      </c>
      <c r="C81">
        <v>20</v>
      </c>
      <c r="D81" t="s">
        <v>96</v>
      </c>
      <c r="E81" t="s">
        <v>97</v>
      </c>
      <c r="F81">
        <v>1.0209999999999999</v>
      </c>
      <c r="G81" t="s">
        <v>14</v>
      </c>
    </row>
    <row r="82" spans="1:7" x14ac:dyDescent="0.25">
      <c r="A82">
        <v>7</v>
      </c>
      <c r="B82" t="s">
        <v>134</v>
      </c>
      <c r="C82">
        <v>30</v>
      </c>
      <c r="D82" t="s">
        <v>101</v>
      </c>
      <c r="E82" t="s">
        <v>11</v>
      </c>
      <c r="F82">
        <v>1.8540000000000001</v>
      </c>
      <c r="G82" t="s">
        <v>16</v>
      </c>
    </row>
    <row r="83" spans="1:7" x14ac:dyDescent="0.25">
      <c r="A83">
        <v>7</v>
      </c>
      <c r="B83" t="s">
        <v>134</v>
      </c>
      <c r="C83">
        <v>40</v>
      </c>
      <c r="D83" t="s">
        <v>98</v>
      </c>
      <c r="E83" t="s">
        <v>15</v>
      </c>
      <c r="F83">
        <v>1.8540000000000001</v>
      </c>
      <c r="G83" t="s">
        <v>16</v>
      </c>
    </row>
    <row r="84" spans="1:7" x14ac:dyDescent="0.25">
      <c r="A84">
        <v>7</v>
      </c>
      <c r="B84" t="s">
        <v>134</v>
      </c>
      <c r="C84">
        <v>50</v>
      </c>
      <c r="D84" t="s">
        <v>99</v>
      </c>
      <c r="E84" t="s">
        <v>15</v>
      </c>
      <c r="F84">
        <v>15.037000000000001</v>
      </c>
      <c r="G84" t="s">
        <v>14</v>
      </c>
    </row>
    <row r="85" spans="1:7" x14ac:dyDescent="0.25">
      <c r="A85">
        <v>7</v>
      </c>
      <c r="B85" t="s">
        <v>134</v>
      </c>
      <c r="C85">
        <v>60</v>
      </c>
      <c r="D85" t="s">
        <v>18</v>
      </c>
      <c r="E85" t="s">
        <v>15</v>
      </c>
      <c r="F85">
        <v>92.475999999999999</v>
      </c>
      <c r="G85" t="s">
        <v>14</v>
      </c>
    </row>
    <row r="86" spans="1:7" x14ac:dyDescent="0.25">
      <c r="A86">
        <v>7</v>
      </c>
      <c r="B86" t="s">
        <v>134</v>
      </c>
      <c r="C86">
        <v>70</v>
      </c>
      <c r="D86" t="s">
        <v>21</v>
      </c>
      <c r="E86" t="s">
        <v>11</v>
      </c>
      <c r="F86">
        <v>1</v>
      </c>
      <c r="G86" t="s">
        <v>14</v>
      </c>
    </row>
    <row r="87" spans="1:7" x14ac:dyDescent="0.25">
      <c r="A87">
        <v>7</v>
      </c>
      <c r="B87" t="s">
        <v>134</v>
      </c>
      <c r="C87">
        <v>80</v>
      </c>
      <c r="D87" t="s">
        <v>108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134</v>
      </c>
      <c r="C88">
        <v>90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134</v>
      </c>
      <c r="C89">
        <v>100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134</v>
      </c>
      <c r="C90">
        <v>110</v>
      </c>
      <c r="D90" t="s">
        <v>109</v>
      </c>
      <c r="E90" t="s">
        <v>13</v>
      </c>
      <c r="F90">
        <v>0.61599999999999999</v>
      </c>
      <c r="G90" t="s">
        <v>14</v>
      </c>
    </row>
    <row r="91" spans="1:7" x14ac:dyDescent="0.25">
      <c r="A91">
        <v>7</v>
      </c>
      <c r="B91" t="s">
        <v>134</v>
      </c>
      <c r="C91">
        <v>120</v>
      </c>
      <c r="D91" t="s">
        <v>136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134</v>
      </c>
      <c r="C92">
        <v>130</v>
      </c>
      <c r="D92" t="s">
        <v>137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138</v>
      </c>
      <c r="C93">
        <v>10</v>
      </c>
      <c r="D93" t="s">
        <v>139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138</v>
      </c>
      <c r="C94">
        <v>20</v>
      </c>
      <c r="D94" t="s">
        <v>96</v>
      </c>
      <c r="E94" t="s">
        <v>97</v>
      </c>
      <c r="F94">
        <v>0.435</v>
      </c>
      <c r="G94" t="s">
        <v>14</v>
      </c>
    </row>
    <row r="95" spans="1:7" x14ac:dyDescent="0.25">
      <c r="A95">
        <v>8</v>
      </c>
      <c r="B95" t="s">
        <v>138</v>
      </c>
      <c r="C95">
        <v>30</v>
      </c>
      <c r="D95" t="s">
        <v>101</v>
      </c>
      <c r="E95" t="s">
        <v>11</v>
      </c>
      <c r="F95">
        <v>0.78700000000000003</v>
      </c>
      <c r="G95" t="s">
        <v>16</v>
      </c>
    </row>
    <row r="96" spans="1:7" x14ac:dyDescent="0.25">
      <c r="A96">
        <v>8</v>
      </c>
      <c r="B96" t="s">
        <v>138</v>
      </c>
      <c r="C96">
        <v>40</v>
      </c>
      <c r="D96" t="s">
        <v>98</v>
      </c>
      <c r="E96" t="s">
        <v>15</v>
      </c>
      <c r="F96">
        <v>0.78700000000000003</v>
      </c>
      <c r="G96" t="s">
        <v>16</v>
      </c>
    </row>
    <row r="97" spans="1:7" x14ac:dyDescent="0.25">
      <c r="A97">
        <v>8</v>
      </c>
      <c r="B97" t="s">
        <v>138</v>
      </c>
      <c r="C97">
        <v>50</v>
      </c>
      <c r="D97" t="s">
        <v>99</v>
      </c>
      <c r="E97" t="s">
        <v>15</v>
      </c>
      <c r="F97">
        <v>11.074</v>
      </c>
      <c r="G97" t="s">
        <v>14</v>
      </c>
    </row>
    <row r="98" spans="1:7" x14ac:dyDescent="0.25">
      <c r="A98">
        <v>8</v>
      </c>
      <c r="B98" t="s">
        <v>138</v>
      </c>
      <c r="C98">
        <v>60</v>
      </c>
      <c r="D98" t="s">
        <v>18</v>
      </c>
      <c r="E98" t="s">
        <v>15</v>
      </c>
      <c r="F98">
        <v>68.108000000000004</v>
      </c>
      <c r="G98" t="s">
        <v>14</v>
      </c>
    </row>
    <row r="99" spans="1:7" x14ac:dyDescent="0.25">
      <c r="A99">
        <v>8</v>
      </c>
      <c r="B99" t="s">
        <v>138</v>
      </c>
      <c r="C99">
        <v>70</v>
      </c>
      <c r="D99" t="s">
        <v>21</v>
      </c>
      <c r="E99" t="s">
        <v>11</v>
      </c>
      <c r="F99">
        <v>1</v>
      </c>
      <c r="G99" t="s">
        <v>14</v>
      </c>
    </row>
    <row r="100" spans="1:7" x14ac:dyDescent="0.25">
      <c r="A100">
        <v>8</v>
      </c>
      <c r="B100" t="s">
        <v>138</v>
      </c>
      <c r="C100">
        <v>80</v>
      </c>
      <c r="D100" t="s">
        <v>108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138</v>
      </c>
      <c r="C101">
        <v>90</v>
      </c>
      <c r="D101" t="s">
        <v>22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138</v>
      </c>
      <c r="C102">
        <v>100</v>
      </c>
      <c r="D102" t="s">
        <v>23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138</v>
      </c>
      <c r="C103">
        <v>110</v>
      </c>
      <c r="D103" t="s">
        <v>109</v>
      </c>
      <c r="E103" t="s">
        <v>13</v>
      </c>
      <c r="F103">
        <v>0.3</v>
      </c>
      <c r="G103" t="s">
        <v>14</v>
      </c>
    </row>
    <row r="104" spans="1:7" x14ac:dyDescent="0.25">
      <c r="A104">
        <v>8</v>
      </c>
      <c r="B104" t="s">
        <v>138</v>
      </c>
      <c r="C104">
        <v>120</v>
      </c>
      <c r="D104" t="s">
        <v>140</v>
      </c>
      <c r="E104" t="s">
        <v>11</v>
      </c>
      <c r="F104">
        <v>1</v>
      </c>
      <c r="G104" t="s">
        <v>16</v>
      </c>
    </row>
    <row r="105" spans="1:7" x14ac:dyDescent="0.25">
      <c r="A105">
        <v>8</v>
      </c>
      <c r="B105" t="s">
        <v>138</v>
      </c>
      <c r="C105">
        <v>130</v>
      </c>
      <c r="D105" t="s">
        <v>141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142</v>
      </c>
      <c r="C106">
        <v>10</v>
      </c>
      <c r="D106" t="s">
        <v>143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142</v>
      </c>
      <c r="C107">
        <v>20</v>
      </c>
      <c r="D107" t="s">
        <v>96</v>
      </c>
      <c r="E107" t="s">
        <v>97</v>
      </c>
      <c r="F107">
        <v>0.52400000000000002</v>
      </c>
      <c r="G107" t="s">
        <v>14</v>
      </c>
    </row>
    <row r="108" spans="1:7" x14ac:dyDescent="0.25">
      <c r="A108">
        <v>9</v>
      </c>
      <c r="B108" t="s">
        <v>142</v>
      </c>
      <c r="C108">
        <v>30</v>
      </c>
      <c r="D108" t="s">
        <v>101</v>
      </c>
      <c r="E108" t="s">
        <v>11</v>
      </c>
      <c r="F108">
        <v>0.94</v>
      </c>
      <c r="G108" t="s">
        <v>16</v>
      </c>
    </row>
    <row r="109" spans="1:7" x14ac:dyDescent="0.25">
      <c r="A109">
        <v>9</v>
      </c>
      <c r="B109" t="s">
        <v>142</v>
      </c>
      <c r="C109">
        <v>40</v>
      </c>
      <c r="D109" t="s">
        <v>98</v>
      </c>
      <c r="E109" t="s">
        <v>15</v>
      </c>
      <c r="F109">
        <v>0.94</v>
      </c>
      <c r="G109" t="s">
        <v>16</v>
      </c>
    </row>
    <row r="110" spans="1:7" x14ac:dyDescent="0.25">
      <c r="A110">
        <v>9</v>
      </c>
      <c r="B110" t="s">
        <v>142</v>
      </c>
      <c r="C110">
        <v>50</v>
      </c>
      <c r="D110" t="s">
        <v>99</v>
      </c>
      <c r="E110" t="s">
        <v>15</v>
      </c>
      <c r="F110">
        <v>11.683999999999999</v>
      </c>
      <c r="G110" t="s">
        <v>14</v>
      </c>
    </row>
    <row r="111" spans="1:7" x14ac:dyDescent="0.25">
      <c r="A111">
        <v>9</v>
      </c>
      <c r="B111" t="s">
        <v>142</v>
      </c>
      <c r="C111">
        <v>60</v>
      </c>
      <c r="D111" t="s">
        <v>18</v>
      </c>
      <c r="E111" t="s">
        <v>15</v>
      </c>
      <c r="F111">
        <v>71.856999999999999</v>
      </c>
      <c r="G111" t="s">
        <v>14</v>
      </c>
    </row>
    <row r="112" spans="1:7" x14ac:dyDescent="0.25">
      <c r="A112">
        <v>9</v>
      </c>
      <c r="B112" t="s">
        <v>142</v>
      </c>
      <c r="C112">
        <v>70</v>
      </c>
      <c r="D112" t="s">
        <v>21</v>
      </c>
      <c r="E112" t="s">
        <v>11</v>
      </c>
      <c r="F112">
        <v>1</v>
      </c>
      <c r="G112" t="s">
        <v>14</v>
      </c>
    </row>
    <row r="113" spans="1:7" x14ac:dyDescent="0.25">
      <c r="A113">
        <v>9</v>
      </c>
      <c r="B113" t="s">
        <v>142</v>
      </c>
      <c r="C113">
        <v>80</v>
      </c>
      <c r="D113" t="s">
        <v>108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142</v>
      </c>
      <c r="C114">
        <v>90</v>
      </c>
      <c r="D114" t="s">
        <v>22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142</v>
      </c>
      <c r="C115">
        <v>100</v>
      </c>
      <c r="D115" t="s">
        <v>23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142</v>
      </c>
      <c r="C116">
        <v>110</v>
      </c>
      <c r="D116" t="s">
        <v>109</v>
      </c>
      <c r="E116" t="s">
        <v>13</v>
      </c>
      <c r="F116">
        <v>0.34499999999999997</v>
      </c>
      <c r="G116" t="s">
        <v>14</v>
      </c>
    </row>
    <row r="117" spans="1:7" x14ac:dyDescent="0.25">
      <c r="A117">
        <v>9</v>
      </c>
      <c r="B117" t="s">
        <v>142</v>
      </c>
      <c r="C117">
        <v>120</v>
      </c>
      <c r="D117" t="s">
        <v>144</v>
      </c>
      <c r="E117" t="s">
        <v>11</v>
      </c>
      <c r="F117">
        <v>1</v>
      </c>
      <c r="G117" t="s">
        <v>16</v>
      </c>
    </row>
    <row r="118" spans="1:7" x14ac:dyDescent="0.25">
      <c r="A118">
        <v>9</v>
      </c>
      <c r="B118" t="s">
        <v>142</v>
      </c>
      <c r="C118">
        <v>130</v>
      </c>
      <c r="D118" t="s">
        <v>145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146</v>
      </c>
      <c r="C119">
        <v>10</v>
      </c>
      <c r="D119" t="s">
        <v>147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146</v>
      </c>
      <c r="C120">
        <v>20</v>
      </c>
      <c r="D120" t="s">
        <v>96</v>
      </c>
      <c r="E120" t="s">
        <v>97</v>
      </c>
      <c r="F120">
        <v>0.61399999999999999</v>
      </c>
      <c r="G120" t="s">
        <v>14</v>
      </c>
    </row>
    <row r="121" spans="1:7" x14ac:dyDescent="0.25">
      <c r="A121">
        <v>10</v>
      </c>
      <c r="B121" t="s">
        <v>146</v>
      </c>
      <c r="C121">
        <v>30</v>
      </c>
      <c r="D121" t="s">
        <v>101</v>
      </c>
      <c r="E121" t="s">
        <v>11</v>
      </c>
      <c r="F121">
        <v>1.0920000000000001</v>
      </c>
      <c r="G121" t="s">
        <v>16</v>
      </c>
    </row>
    <row r="122" spans="1:7" x14ac:dyDescent="0.25">
      <c r="A122">
        <v>10</v>
      </c>
      <c r="B122" t="s">
        <v>146</v>
      </c>
      <c r="C122">
        <v>40</v>
      </c>
      <c r="D122" t="s">
        <v>98</v>
      </c>
      <c r="E122" t="s">
        <v>15</v>
      </c>
      <c r="F122">
        <v>1.0920000000000001</v>
      </c>
      <c r="G122" t="s">
        <v>16</v>
      </c>
    </row>
    <row r="123" spans="1:7" x14ac:dyDescent="0.25">
      <c r="A123">
        <v>10</v>
      </c>
      <c r="B123" t="s">
        <v>146</v>
      </c>
      <c r="C123">
        <v>50</v>
      </c>
      <c r="D123" t="s">
        <v>99</v>
      </c>
      <c r="E123" t="s">
        <v>15</v>
      </c>
      <c r="F123">
        <v>12.294</v>
      </c>
      <c r="G123" t="s">
        <v>14</v>
      </c>
    </row>
    <row r="124" spans="1:7" x14ac:dyDescent="0.25">
      <c r="A124">
        <v>10</v>
      </c>
      <c r="B124" t="s">
        <v>146</v>
      </c>
      <c r="C124">
        <v>60</v>
      </c>
      <c r="D124" t="s">
        <v>18</v>
      </c>
      <c r="E124" t="s">
        <v>15</v>
      </c>
      <c r="F124">
        <v>75.605999999999995</v>
      </c>
      <c r="G124" t="s">
        <v>14</v>
      </c>
    </row>
    <row r="125" spans="1:7" x14ac:dyDescent="0.25">
      <c r="A125">
        <v>10</v>
      </c>
      <c r="B125" t="s">
        <v>146</v>
      </c>
      <c r="C125">
        <v>70</v>
      </c>
      <c r="D125" t="s">
        <v>21</v>
      </c>
      <c r="E125" t="s">
        <v>11</v>
      </c>
      <c r="F125">
        <v>1</v>
      </c>
      <c r="G125" t="s">
        <v>14</v>
      </c>
    </row>
    <row r="126" spans="1:7" x14ac:dyDescent="0.25">
      <c r="A126">
        <v>10</v>
      </c>
      <c r="B126" t="s">
        <v>146</v>
      </c>
      <c r="C126">
        <v>80</v>
      </c>
      <c r="D126" t="s">
        <v>108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146</v>
      </c>
      <c r="C127">
        <v>90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146</v>
      </c>
      <c r="C128">
        <v>100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146</v>
      </c>
      <c r="C129">
        <v>110</v>
      </c>
      <c r="D129" t="s">
        <v>109</v>
      </c>
      <c r="E129" t="s">
        <v>13</v>
      </c>
      <c r="F129">
        <v>0.39</v>
      </c>
      <c r="G129" t="s">
        <v>14</v>
      </c>
    </row>
    <row r="130" spans="1:7" x14ac:dyDescent="0.25">
      <c r="A130">
        <v>10</v>
      </c>
      <c r="B130" t="s">
        <v>146</v>
      </c>
      <c r="C130">
        <v>120</v>
      </c>
      <c r="D130" t="s">
        <v>148</v>
      </c>
      <c r="E130" t="s">
        <v>11</v>
      </c>
      <c r="F130">
        <v>1</v>
      </c>
      <c r="G130" t="s">
        <v>16</v>
      </c>
    </row>
    <row r="131" spans="1:7" x14ac:dyDescent="0.25">
      <c r="A131">
        <v>10</v>
      </c>
      <c r="B131" t="s">
        <v>146</v>
      </c>
      <c r="C131">
        <v>130</v>
      </c>
      <c r="D131" t="s">
        <v>149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150</v>
      </c>
      <c r="C132">
        <v>10</v>
      </c>
      <c r="D132" t="s">
        <v>151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150</v>
      </c>
      <c r="C133">
        <v>20</v>
      </c>
      <c r="D133" t="s">
        <v>96</v>
      </c>
      <c r="E133" t="s">
        <v>97</v>
      </c>
      <c r="F133">
        <v>0.70399999999999996</v>
      </c>
      <c r="G133" t="s">
        <v>14</v>
      </c>
    </row>
    <row r="134" spans="1:7" x14ac:dyDescent="0.25">
      <c r="A134">
        <v>11</v>
      </c>
      <c r="B134" t="s">
        <v>150</v>
      </c>
      <c r="C134">
        <v>30</v>
      </c>
      <c r="D134" t="s">
        <v>101</v>
      </c>
      <c r="E134" t="s">
        <v>11</v>
      </c>
      <c r="F134">
        <v>1.2450000000000001</v>
      </c>
      <c r="G134" t="s">
        <v>16</v>
      </c>
    </row>
    <row r="135" spans="1:7" x14ac:dyDescent="0.25">
      <c r="A135">
        <v>11</v>
      </c>
      <c r="B135" t="s">
        <v>150</v>
      </c>
      <c r="C135">
        <v>40</v>
      </c>
      <c r="D135" t="s">
        <v>98</v>
      </c>
      <c r="E135" t="s">
        <v>15</v>
      </c>
      <c r="F135">
        <v>1.2450000000000001</v>
      </c>
      <c r="G135" t="s">
        <v>16</v>
      </c>
    </row>
    <row r="136" spans="1:7" x14ac:dyDescent="0.25">
      <c r="A136">
        <v>11</v>
      </c>
      <c r="B136" t="s">
        <v>150</v>
      </c>
      <c r="C136">
        <v>50</v>
      </c>
      <c r="D136" t="s">
        <v>99</v>
      </c>
      <c r="E136" t="s">
        <v>15</v>
      </c>
      <c r="F136">
        <v>12.903</v>
      </c>
      <c r="G136" t="s">
        <v>14</v>
      </c>
    </row>
    <row r="137" spans="1:7" x14ac:dyDescent="0.25">
      <c r="A137">
        <v>11</v>
      </c>
      <c r="B137" t="s">
        <v>150</v>
      </c>
      <c r="C137">
        <v>60</v>
      </c>
      <c r="D137" t="s">
        <v>18</v>
      </c>
      <c r="E137" t="s">
        <v>15</v>
      </c>
      <c r="F137">
        <v>79.355000000000004</v>
      </c>
      <c r="G137" t="s">
        <v>14</v>
      </c>
    </row>
    <row r="138" spans="1:7" x14ac:dyDescent="0.25">
      <c r="A138">
        <v>11</v>
      </c>
      <c r="B138" t="s">
        <v>150</v>
      </c>
      <c r="C138">
        <v>70</v>
      </c>
      <c r="D138" t="s">
        <v>21</v>
      </c>
      <c r="E138" t="s">
        <v>11</v>
      </c>
      <c r="F138">
        <v>1</v>
      </c>
      <c r="G138" t="s">
        <v>14</v>
      </c>
    </row>
    <row r="139" spans="1:7" x14ac:dyDescent="0.25">
      <c r="A139">
        <v>11</v>
      </c>
      <c r="B139" t="s">
        <v>150</v>
      </c>
      <c r="C139">
        <v>80</v>
      </c>
      <c r="D139" t="s">
        <v>108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150</v>
      </c>
      <c r="C140">
        <v>90</v>
      </c>
      <c r="D140" t="s">
        <v>22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150</v>
      </c>
      <c r="C141">
        <v>100</v>
      </c>
      <c r="D141" t="s">
        <v>23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150</v>
      </c>
      <c r="C142">
        <v>110</v>
      </c>
      <c r="D142" t="s">
        <v>109</v>
      </c>
      <c r="E142" t="s">
        <v>13</v>
      </c>
      <c r="F142">
        <v>0.435</v>
      </c>
      <c r="G142" t="s">
        <v>14</v>
      </c>
    </row>
    <row r="143" spans="1:7" x14ac:dyDescent="0.25">
      <c r="A143">
        <v>11</v>
      </c>
      <c r="B143" t="s">
        <v>150</v>
      </c>
      <c r="C143">
        <v>120</v>
      </c>
      <c r="D143" t="s">
        <v>152</v>
      </c>
      <c r="E143" t="s">
        <v>11</v>
      </c>
      <c r="F143">
        <v>1</v>
      </c>
      <c r="G143" t="s">
        <v>16</v>
      </c>
    </row>
    <row r="144" spans="1:7" x14ac:dyDescent="0.25">
      <c r="A144">
        <v>11</v>
      </c>
      <c r="B144" t="s">
        <v>150</v>
      </c>
      <c r="C144">
        <v>130</v>
      </c>
      <c r="D144" t="s">
        <v>153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154</v>
      </c>
      <c r="C145">
        <v>10</v>
      </c>
      <c r="D145" t="s">
        <v>155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154</v>
      </c>
      <c r="C146">
        <v>20</v>
      </c>
      <c r="D146" t="s">
        <v>96</v>
      </c>
      <c r="E146" t="s">
        <v>97</v>
      </c>
      <c r="F146">
        <v>0.88400000000000001</v>
      </c>
      <c r="G146" t="s">
        <v>14</v>
      </c>
    </row>
    <row r="147" spans="1:7" x14ac:dyDescent="0.25">
      <c r="A147">
        <v>12</v>
      </c>
      <c r="B147" t="s">
        <v>154</v>
      </c>
      <c r="C147">
        <v>30</v>
      </c>
      <c r="D147" t="s">
        <v>101</v>
      </c>
      <c r="E147" t="s">
        <v>11</v>
      </c>
      <c r="F147">
        <v>1.5489999999999999</v>
      </c>
      <c r="G147" t="s">
        <v>16</v>
      </c>
    </row>
    <row r="148" spans="1:7" x14ac:dyDescent="0.25">
      <c r="A148">
        <v>12</v>
      </c>
      <c r="B148" t="s">
        <v>154</v>
      </c>
      <c r="C148">
        <v>40</v>
      </c>
      <c r="D148" t="s">
        <v>98</v>
      </c>
      <c r="E148" t="s">
        <v>15</v>
      </c>
      <c r="F148">
        <v>1.5489999999999999</v>
      </c>
      <c r="G148" t="s">
        <v>16</v>
      </c>
    </row>
    <row r="149" spans="1:7" x14ac:dyDescent="0.25">
      <c r="A149">
        <v>12</v>
      </c>
      <c r="B149" t="s">
        <v>154</v>
      </c>
      <c r="C149">
        <v>50</v>
      </c>
      <c r="D149" t="s">
        <v>99</v>
      </c>
      <c r="E149" t="s">
        <v>15</v>
      </c>
      <c r="F149">
        <v>14.122</v>
      </c>
      <c r="G149" t="s">
        <v>14</v>
      </c>
    </row>
    <row r="150" spans="1:7" x14ac:dyDescent="0.25">
      <c r="A150">
        <v>12</v>
      </c>
      <c r="B150" t="s">
        <v>154</v>
      </c>
      <c r="C150">
        <v>60</v>
      </c>
      <c r="D150" t="s">
        <v>18</v>
      </c>
      <c r="E150" t="s">
        <v>15</v>
      </c>
      <c r="F150">
        <v>86.852999999999994</v>
      </c>
      <c r="G150" t="s">
        <v>14</v>
      </c>
    </row>
    <row r="151" spans="1:7" x14ac:dyDescent="0.25">
      <c r="A151">
        <v>12</v>
      </c>
      <c r="B151" t="s">
        <v>154</v>
      </c>
      <c r="C151">
        <v>70</v>
      </c>
      <c r="D151" t="s">
        <v>21</v>
      </c>
      <c r="E151" t="s">
        <v>11</v>
      </c>
      <c r="F151">
        <v>1</v>
      </c>
      <c r="G151" t="s">
        <v>14</v>
      </c>
    </row>
    <row r="152" spans="1:7" x14ac:dyDescent="0.25">
      <c r="A152">
        <v>12</v>
      </c>
      <c r="B152" t="s">
        <v>154</v>
      </c>
      <c r="C152">
        <v>80</v>
      </c>
      <c r="D152" t="s">
        <v>108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154</v>
      </c>
      <c r="C153">
        <v>90</v>
      </c>
      <c r="D153" t="s">
        <v>22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154</v>
      </c>
      <c r="C154">
        <v>100</v>
      </c>
      <c r="D154" t="s">
        <v>23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154</v>
      </c>
      <c r="C155">
        <v>110</v>
      </c>
      <c r="D155" t="s">
        <v>109</v>
      </c>
      <c r="E155" t="s">
        <v>13</v>
      </c>
      <c r="F155">
        <v>0.52500000000000002</v>
      </c>
      <c r="G155" t="s">
        <v>14</v>
      </c>
    </row>
    <row r="156" spans="1:7" x14ac:dyDescent="0.25">
      <c r="A156">
        <v>12</v>
      </c>
      <c r="B156" t="s">
        <v>154</v>
      </c>
      <c r="C156">
        <v>120</v>
      </c>
      <c r="D156" t="s">
        <v>156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154</v>
      </c>
      <c r="C157">
        <v>130</v>
      </c>
      <c r="D157" t="s">
        <v>157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158</v>
      </c>
      <c r="C158">
        <v>10</v>
      </c>
      <c r="D158" t="s">
        <v>159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158</v>
      </c>
      <c r="C159">
        <v>20</v>
      </c>
      <c r="D159" t="s">
        <v>96</v>
      </c>
      <c r="E159" t="s">
        <v>97</v>
      </c>
      <c r="F159">
        <v>0.97399999999999998</v>
      </c>
      <c r="G159" t="s">
        <v>14</v>
      </c>
    </row>
    <row r="160" spans="1:7" x14ac:dyDescent="0.25">
      <c r="A160">
        <v>13</v>
      </c>
      <c r="B160" t="s">
        <v>158</v>
      </c>
      <c r="C160">
        <v>30</v>
      </c>
      <c r="D160" t="s">
        <v>101</v>
      </c>
      <c r="E160" t="s">
        <v>11</v>
      </c>
      <c r="F160">
        <v>1.702</v>
      </c>
      <c r="G160" t="s">
        <v>16</v>
      </c>
    </row>
    <row r="161" spans="1:7" x14ac:dyDescent="0.25">
      <c r="A161">
        <v>13</v>
      </c>
      <c r="B161" t="s">
        <v>158</v>
      </c>
      <c r="C161">
        <v>40</v>
      </c>
      <c r="D161" t="s">
        <v>98</v>
      </c>
      <c r="E161" t="s">
        <v>15</v>
      </c>
      <c r="F161">
        <v>1.702</v>
      </c>
      <c r="G161" t="s">
        <v>16</v>
      </c>
    </row>
    <row r="162" spans="1:7" x14ac:dyDescent="0.25">
      <c r="A162">
        <v>13</v>
      </c>
      <c r="B162" t="s">
        <v>158</v>
      </c>
      <c r="C162">
        <v>50</v>
      </c>
      <c r="D162" t="s">
        <v>99</v>
      </c>
      <c r="E162" t="s">
        <v>15</v>
      </c>
      <c r="F162">
        <v>14.731999999999999</v>
      </c>
      <c r="G162" t="s">
        <v>14</v>
      </c>
    </row>
    <row r="163" spans="1:7" x14ac:dyDescent="0.25">
      <c r="A163">
        <v>13</v>
      </c>
      <c r="B163" t="s">
        <v>158</v>
      </c>
      <c r="C163">
        <v>60</v>
      </c>
      <c r="D163" t="s">
        <v>18</v>
      </c>
      <c r="E163" t="s">
        <v>15</v>
      </c>
      <c r="F163">
        <v>90.602000000000004</v>
      </c>
      <c r="G163" t="s">
        <v>14</v>
      </c>
    </row>
    <row r="164" spans="1:7" x14ac:dyDescent="0.25">
      <c r="A164">
        <v>13</v>
      </c>
      <c r="B164" t="s">
        <v>158</v>
      </c>
      <c r="C164">
        <v>70</v>
      </c>
      <c r="D164" t="s">
        <v>21</v>
      </c>
      <c r="E164" t="s">
        <v>11</v>
      </c>
      <c r="F164">
        <v>1</v>
      </c>
      <c r="G164" t="s">
        <v>14</v>
      </c>
    </row>
    <row r="165" spans="1:7" x14ac:dyDescent="0.25">
      <c r="A165">
        <v>13</v>
      </c>
      <c r="B165" t="s">
        <v>158</v>
      </c>
      <c r="C165">
        <v>80</v>
      </c>
      <c r="D165" t="s">
        <v>108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158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158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158</v>
      </c>
      <c r="C168">
        <v>110</v>
      </c>
      <c r="D168" t="s">
        <v>109</v>
      </c>
      <c r="E168" t="s">
        <v>13</v>
      </c>
      <c r="F168">
        <v>0.56999999999999995</v>
      </c>
      <c r="G168" t="s">
        <v>14</v>
      </c>
    </row>
    <row r="169" spans="1:7" x14ac:dyDescent="0.25">
      <c r="A169">
        <v>13</v>
      </c>
      <c r="B169" t="s">
        <v>158</v>
      </c>
      <c r="C169">
        <v>120</v>
      </c>
      <c r="D169" t="s">
        <v>160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158</v>
      </c>
      <c r="C170">
        <v>130</v>
      </c>
      <c r="D170" t="s">
        <v>161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162</v>
      </c>
      <c r="C171">
        <v>10</v>
      </c>
      <c r="D171" t="s">
        <v>163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162</v>
      </c>
      <c r="C172">
        <v>20</v>
      </c>
      <c r="D172" t="s">
        <v>96</v>
      </c>
      <c r="E172" t="s">
        <v>97</v>
      </c>
      <c r="F172">
        <v>1.0640000000000001</v>
      </c>
      <c r="G172" t="s">
        <v>14</v>
      </c>
    </row>
    <row r="173" spans="1:7" x14ac:dyDescent="0.25">
      <c r="A173">
        <v>14</v>
      </c>
      <c r="B173" t="s">
        <v>162</v>
      </c>
      <c r="C173">
        <v>30</v>
      </c>
      <c r="D173" t="s">
        <v>101</v>
      </c>
      <c r="E173" t="s">
        <v>11</v>
      </c>
      <c r="F173">
        <v>1.8540000000000001</v>
      </c>
      <c r="G173" t="s">
        <v>16</v>
      </c>
    </row>
    <row r="174" spans="1:7" x14ac:dyDescent="0.25">
      <c r="A174">
        <v>14</v>
      </c>
      <c r="B174" t="s">
        <v>162</v>
      </c>
      <c r="C174">
        <v>40</v>
      </c>
      <c r="D174" t="s">
        <v>98</v>
      </c>
      <c r="E174" t="s">
        <v>15</v>
      </c>
      <c r="F174">
        <v>1.8540000000000001</v>
      </c>
      <c r="G174" t="s">
        <v>16</v>
      </c>
    </row>
    <row r="175" spans="1:7" x14ac:dyDescent="0.25">
      <c r="A175">
        <v>14</v>
      </c>
      <c r="B175" t="s">
        <v>162</v>
      </c>
      <c r="C175">
        <v>50</v>
      </c>
      <c r="D175" t="s">
        <v>99</v>
      </c>
      <c r="E175" t="s">
        <v>15</v>
      </c>
      <c r="F175">
        <v>15.342000000000001</v>
      </c>
      <c r="G175" t="s">
        <v>14</v>
      </c>
    </row>
    <row r="176" spans="1:7" x14ac:dyDescent="0.25">
      <c r="A176">
        <v>14</v>
      </c>
      <c r="B176" t="s">
        <v>162</v>
      </c>
      <c r="C176">
        <v>60</v>
      </c>
      <c r="D176" t="s">
        <v>18</v>
      </c>
      <c r="E176" t="s">
        <v>15</v>
      </c>
      <c r="F176">
        <v>94.350999999999999</v>
      </c>
      <c r="G176" t="s">
        <v>14</v>
      </c>
    </row>
    <row r="177" spans="1:7" x14ac:dyDescent="0.25">
      <c r="A177">
        <v>14</v>
      </c>
      <c r="B177" t="s">
        <v>162</v>
      </c>
      <c r="C177">
        <v>70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14</v>
      </c>
      <c r="B178" t="s">
        <v>162</v>
      </c>
      <c r="C178">
        <v>80</v>
      </c>
      <c r="D178" t="s">
        <v>108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162</v>
      </c>
      <c r="C179">
        <v>90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162</v>
      </c>
      <c r="C180">
        <v>100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162</v>
      </c>
      <c r="C181">
        <v>110</v>
      </c>
      <c r="D181" t="s">
        <v>109</v>
      </c>
      <c r="E181" t="s">
        <v>13</v>
      </c>
      <c r="F181">
        <v>0.61599999999999999</v>
      </c>
      <c r="G181" t="s">
        <v>14</v>
      </c>
    </row>
    <row r="182" spans="1:7" x14ac:dyDescent="0.25">
      <c r="A182">
        <v>14</v>
      </c>
      <c r="B182" t="s">
        <v>162</v>
      </c>
      <c r="C182">
        <v>120</v>
      </c>
      <c r="D182" t="s">
        <v>164</v>
      </c>
      <c r="E182" t="s">
        <v>11</v>
      </c>
      <c r="F182">
        <v>1</v>
      </c>
      <c r="G182" t="s">
        <v>16</v>
      </c>
    </row>
    <row r="183" spans="1:7" x14ac:dyDescent="0.25">
      <c r="A183">
        <v>14</v>
      </c>
      <c r="B183" t="s">
        <v>162</v>
      </c>
      <c r="C183">
        <v>130</v>
      </c>
      <c r="D183" t="s">
        <v>165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166</v>
      </c>
      <c r="C184">
        <v>10</v>
      </c>
      <c r="D184" t="s">
        <v>167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166</v>
      </c>
      <c r="C185">
        <v>20</v>
      </c>
      <c r="D185" t="s">
        <v>96</v>
      </c>
      <c r="E185" t="s">
        <v>97</v>
      </c>
      <c r="F185">
        <v>0.45200000000000001</v>
      </c>
      <c r="G185" t="s">
        <v>14</v>
      </c>
    </row>
    <row r="186" spans="1:7" x14ac:dyDescent="0.25">
      <c r="A186">
        <v>15</v>
      </c>
      <c r="B186" t="s">
        <v>166</v>
      </c>
      <c r="C186">
        <v>30</v>
      </c>
      <c r="D186" t="s">
        <v>101</v>
      </c>
      <c r="E186" t="s">
        <v>11</v>
      </c>
      <c r="F186">
        <v>0.78700000000000003</v>
      </c>
      <c r="G186" t="s">
        <v>16</v>
      </c>
    </row>
    <row r="187" spans="1:7" x14ac:dyDescent="0.25">
      <c r="A187">
        <v>15</v>
      </c>
      <c r="B187" t="s">
        <v>166</v>
      </c>
      <c r="C187">
        <v>40</v>
      </c>
      <c r="D187" t="s">
        <v>98</v>
      </c>
      <c r="E187" t="s">
        <v>15</v>
      </c>
      <c r="F187">
        <v>0.78700000000000003</v>
      </c>
      <c r="G187" t="s">
        <v>16</v>
      </c>
    </row>
    <row r="188" spans="1:7" x14ac:dyDescent="0.25">
      <c r="A188">
        <v>15</v>
      </c>
      <c r="B188" t="s">
        <v>166</v>
      </c>
      <c r="C188">
        <v>50</v>
      </c>
      <c r="D188" t="s">
        <v>99</v>
      </c>
      <c r="E188" t="s">
        <v>15</v>
      </c>
      <c r="F188">
        <v>11.379</v>
      </c>
      <c r="G188" t="s">
        <v>14</v>
      </c>
    </row>
    <row r="189" spans="1:7" x14ac:dyDescent="0.25">
      <c r="A189">
        <v>15</v>
      </c>
      <c r="B189" t="s">
        <v>166</v>
      </c>
      <c r="C189">
        <v>60</v>
      </c>
      <c r="D189" t="s">
        <v>18</v>
      </c>
      <c r="E189" t="s">
        <v>15</v>
      </c>
      <c r="F189">
        <v>69.981999999999999</v>
      </c>
      <c r="G189" t="s">
        <v>14</v>
      </c>
    </row>
    <row r="190" spans="1:7" x14ac:dyDescent="0.25">
      <c r="A190">
        <v>15</v>
      </c>
      <c r="B190" t="s">
        <v>166</v>
      </c>
      <c r="C190">
        <v>70</v>
      </c>
      <c r="D190" t="s">
        <v>21</v>
      </c>
      <c r="E190" t="s">
        <v>11</v>
      </c>
      <c r="F190">
        <v>1</v>
      </c>
      <c r="G190" t="s">
        <v>14</v>
      </c>
    </row>
    <row r="191" spans="1:7" x14ac:dyDescent="0.25">
      <c r="A191">
        <v>15</v>
      </c>
      <c r="B191" t="s">
        <v>166</v>
      </c>
      <c r="C191">
        <v>80</v>
      </c>
      <c r="D191" t="s">
        <v>108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166</v>
      </c>
      <c r="C192">
        <v>90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166</v>
      </c>
      <c r="C193">
        <v>100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166</v>
      </c>
      <c r="C194">
        <v>110</v>
      </c>
      <c r="D194" t="s">
        <v>109</v>
      </c>
      <c r="E194" t="s">
        <v>13</v>
      </c>
      <c r="F194">
        <v>0.66100000000000003</v>
      </c>
      <c r="G194" t="s">
        <v>14</v>
      </c>
    </row>
    <row r="195" spans="1:7" x14ac:dyDescent="0.25">
      <c r="A195">
        <v>15</v>
      </c>
      <c r="B195" t="s">
        <v>166</v>
      </c>
      <c r="C195">
        <v>120</v>
      </c>
      <c r="D195" t="s">
        <v>168</v>
      </c>
      <c r="E195" t="s">
        <v>11</v>
      </c>
      <c r="F195">
        <v>1</v>
      </c>
      <c r="G195" t="s">
        <v>16</v>
      </c>
    </row>
    <row r="196" spans="1:7" x14ac:dyDescent="0.25">
      <c r="A196">
        <v>15</v>
      </c>
      <c r="B196" t="s">
        <v>166</v>
      </c>
      <c r="C196">
        <v>130</v>
      </c>
      <c r="D196" t="s">
        <v>169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170</v>
      </c>
      <c r="C197">
        <v>10</v>
      </c>
      <c r="D197" t="s">
        <v>171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170</v>
      </c>
      <c r="C198">
        <v>20</v>
      </c>
      <c r="D198" t="s">
        <v>96</v>
      </c>
      <c r="E198" t="s">
        <v>97</v>
      </c>
      <c r="F198">
        <v>0.54600000000000004</v>
      </c>
      <c r="G198" t="s">
        <v>14</v>
      </c>
    </row>
    <row r="199" spans="1:7" x14ac:dyDescent="0.25">
      <c r="A199">
        <v>16</v>
      </c>
      <c r="B199" t="s">
        <v>170</v>
      </c>
      <c r="C199">
        <v>30</v>
      </c>
      <c r="D199" t="s">
        <v>101</v>
      </c>
      <c r="E199" t="s">
        <v>11</v>
      </c>
      <c r="F199">
        <v>0.94</v>
      </c>
      <c r="G199" t="s">
        <v>16</v>
      </c>
    </row>
    <row r="200" spans="1:7" x14ac:dyDescent="0.25">
      <c r="A200">
        <v>16</v>
      </c>
      <c r="B200" t="s">
        <v>170</v>
      </c>
      <c r="C200">
        <v>40</v>
      </c>
      <c r="D200" t="s">
        <v>98</v>
      </c>
      <c r="E200" t="s">
        <v>15</v>
      </c>
      <c r="F200">
        <v>0.94</v>
      </c>
      <c r="G200" t="s">
        <v>16</v>
      </c>
    </row>
    <row r="201" spans="1:7" x14ac:dyDescent="0.25">
      <c r="A201">
        <v>16</v>
      </c>
      <c r="B201" t="s">
        <v>170</v>
      </c>
      <c r="C201">
        <v>50</v>
      </c>
      <c r="D201" t="s">
        <v>99</v>
      </c>
      <c r="E201" t="s">
        <v>15</v>
      </c>
      <c r="F201">
        <v>11.989000000000001</v>
      </c>
      <c r="G201" t="s">
        <v>14</v>
      </c>
    </row>
    <row r="202" spans="1:7" x14ac:dyDescent="0.25">
      <c r="A202">
        <v>16</v>
      </c>
      <c r="B202" t="s">
        <v>170</v>
      </c>
      <c r="C202">
        <v>60</v>
      </c>
      <c r="D202" t="s">
        <v>18</v>
      </c>
      <c r="E202" t="s">
        <v>15</v>
      </c>
      <c r="F202">
        <v>73.730999999999995</v>
      </c>
      <c r="G202" t="s">
        <v>14</v>
      </c>
    </row>
    <row r="203" spans="1:7" x14ac:dyDescent="0.25">
      <c r="A203">
        <v>16</v>
      </c>
      <c r="B203" t="s">
        <v>170</v>
      </c>
      <c r="C203">
        <v>70</v>
      </c>
      <c r="D203" t="s">
        <v>21</v>
      </c>
      <c r="E203" t="s">
        <v>11</v>
      </c>
      <c r="F203">
        <v>1</v>
      </c>
      <c r="G203" t="s">
        <v>14</v>
      </c>
    </row>
    <row r="204" spans="1:7" x14ac:dyDescent="0.25">
      <c r="A204">
        <v>16</v>
      </c>
      <c r="B204" t="s">
        <v>170</v>
      </c>
      <c r="C204">
        <v>80</v>
      </c>
      <c r="D204" t="s">
        <v>108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170</v>
      </c>
      <c r="C205">
        <v>90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170</v>
      </c>
      <c r="C206">
        <v>100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170</v>
      </c>
      <c r="C207">
        <v>110</v>
      </c>
      <c r="D207" t="s">
        <v>109</v>
      </c>
      <c r="E207" t="s">
        <v>13</v>
      </c>
      <c r="F207">
        <v>0.66100000000000003</v>
      </c>
      <c r="G207" t="s">
        <v>14</v>
      </c>
    </row>
    <row r="208" spans="1:7" x14ac:dyDescent="0.25">
      <c r="A208">
        <v>16</v>
      </c>
      <c r="B208" t="s">
        <v>170</v>
      </c>
      <c r="C208">
        <v>120</v>
      </c>
      <c r="D208" t="s">
        <v>172</v>
      </c>
      <c r="E208" t="s">
        <v>11</v>
      </c>
      <c r="F208">
        <v>1</v>
      </c>
      <c r="G208" t="s">
        <v>16</v>
      </c>
    </row>
    <row r="209" spans="1:7" x14ac:dyDescent="0.25">
      <c r="A209">
        <v>16</v>
      </c>
      <c r="B209" t="s">
        <v>170</v>
      </c>
      <c r="C209">
        <v>130</v>
      </c>
      <c r="D209" t="s">
        <v>173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174</v>
      </c>
      <c r="C210">
        <v>10</v>
      </c>
      <c r="D210" t="s">
        <v>175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174</v>
      </c>
      <c r="C211">
        <v>20</v>
      </c>
      <c r="D211" t="s">
        <v>96</v>
      </c>
      <c r="E211" t="s">
        <v>97</v>
      </c>
      <c r="F211">
        <v>0.63900000000000001</v>
      </c>
      <c r="G211" t="s">
        <v>14</v>
      </c>
    </row>
    <row r="212" spans="1:7" x14ac:dyDescent="0.25">
      <c r="A212">
        <v>17</v>
      </c>
      <c r="B212" t="s">
        <v>174</v>
      </c>
      <c r="C212">
        <v>30</v>
      </c>
      <c r="D212" t="s">
        <v>101</v>
      </c>
      <c r="E212" t="s">
        <v>11</v>
      </c>
      <c r="F212">
        <v>1.0920000000000001</v>
      </c>
      <c r="G212" t="s">
        <v>16</v>
      </c>
    </row>
    <row r="213" spans="1:7" x14ac:dyDescent="0.25">
      <c r="A213">
        <v>17</v>
      </c>
      <c r="B213" t="s">
        <v>174</v>
      </c>
      <c r="C213">
        <v>40</v>
      </c>
      <c r="D213" t="s">
        <v>98</v>
      </c>
      <c r="E213" t="s">
        <v>15</v>
      </c>
      <c r="F213">
        <v>1.0920000000000001</v>
      </c>
      <c r="G213" t="s">
        <v>16</v>
      </c>
    </row>
    <row r="214" spans="1:7" x14ac:dyDescent="0.25">
      <c r="A214">
        <v>17</v>
      </c>
      <c r="B214" t="s">
        <v>174</v>
      </c>
      <c r="C214">
        <v>50</v>
      </c>
      <c r="D214" t="s">
        <v>99</v>
      </c>
      <c r="E214" t="s">
        <v>15</v>
      </c>
      <c r="F214">
        <v>12.598000000000001</v>
      </c>
      <c r="G214" t="s">
        <v>14</v>
      </c>
    </row>
    <row r="215" spans="1:7" x14ac:dyDescent="0.25">
      <c r="A215">
        <v>17</v>
      </c>
      <c r="B215" t="s">
        <v>174</v>
      </c>
      <c r="C215">
        <v>60</v>
      </c>
      <c r="D215" t="s">
        <v>18</v>
      </c>
      <c r="E215" t="s">
        <v>15</v>
      </c>
      <c r="F215">
        <v>77.48</v>
      </c>
      <c r="G215" t="s">
        <v>14</v>
      </c>
    </row>
    <row r="216" spans="1:7" x14ac:dyDescent="0.25">
      <c r="A216">
        <v>17</v>
      </c>
      <c r="B216" t="s">
        <v>174</v>
      </c>
      <c r="C216">
        <v>70</v>
      </c>
      <c r="D216" t="s">
        <v>21</v>
      </c>
      <c r="E216" t="s">
        <v>11</v>
      </c>
      <c r="F216">
        <v>1</v>
      </c>
      <c r="G216" t="s">
        <v>14</v>
      </c>
    </row>
    <row r="217" spans="1:7" x14ac:dyDescent="0.25">
      <c r="A217">
        <v>17</v>
      </c>
      <c r="B217" t="s">
        <v>174</v>
      </c>
      <c r="C217">
        <v>80</v>
      </c>
      <c r="D217" t="s">
        <v>108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174</v>
      </c>
      <c r="C218">
        <v>90</v>
      </c>
      <c r="D218" t="s">
        <v>22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174</v>
      </c>
      <c r="C219">
        <v>100</v>
      </c>
      <c r="D219" t="s">
        <v>23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174</v>
      </c>
      <c r="C220">
        <v>110</v>
      </c>
      <c r="D220" t="s">
        <v>109</v>
      </c>
      <c r="E220" t="s">
        <v>13</v>
      </c>
      <c r="F220">
        <v>0.66100000000000003</v>
      </c>
      <c r="G220" t="s">
        <v>14</v>
      </c>
    </row>
    <row r="221" spans="1:7" x14ac:dyDescent="0.25">
      <c r="A221">
        <v>17</v>
      </c>
      <c r="B221" t="s">
        <v>174</v>
      </c>
      <c r="C221">
        <v>120</v>
      </c>
      <c r="D221" t="s">
        <v>176</v>
      </c>
      <c r="E221" t="s">
        <v>11</v>
      </c>
      <c r="F221">
        <v>1</v>
      </c>
      <c r="G221" t="s">
        <v>16</v>
      </c>
    </row>
    <row r="222" spans="1:7" x14ac:dyDescent="0.25">
      <c r="A222">
        <v>17</v>
      </c>
      <c r="B222" t="s">
        <v>174</v>
      </c>
      <c r="C222">
        <v>130</v>
      </c>
      <c r="D222" t="s">
        <v>177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178</v>
      </c>
      <c r="C223">
        <v>10</v>
      </c>
      <c r="D223" t="s">
        <v>179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178</v>
      </c>
      <c r="C224">
        <v>20</v>
      </c>
      <c r="D224" t="s">
        <v>96</v>
      </c>
      <c r="E224" t="s">
        <v>97</v>
      </c>
      <c r="F224">
        <v>0.73299999999999998</v>
      </c>
      <c r="G224" t="s">
        <v>14</v>
      </c>
    </row>
    <row r="225" spans="1:7" x14ac:dyDescent="0.25">
      <c r="A225">
        <v>18</v>
      </c>
      <c r="B225" t="s">
        <v>178</v>
      </c>
      <c r="C225">
        <v>30</v>
      </c>
      <c r="D225" t="s">
        <v>101</v>
      </c>
      <c r="E225" t="s">
        <v>11</v>
      </c>
      <c r="F225">
        <v>1.2450000000000001</v>
      </c>
      <c r="G225" t="s">
        <v>16</v>
      </c>
    </row>
    <row r="226" spans="1:7" x14ac:dyDescent="0.25">
      <c r="A226">
        <v>18</v>
      </c>
      <c r="B226" t="s">
        <v>178</v>
      </c>
      <c r="C226">
        <v>40</v>
      </c>
      <c r="D226" t="s">
        <v>98</v>
      </c>
      <c r="E226" t="s">
        <v>15</v>
      </c>
      <c r="F226">
        <v>1.2450000000000001</v>
      </c>
      <c r="G226" t="s">
        <v>16</v>
      </c>
    </row>
    <row r="227" spans="1:7" x14ac:dyDescent="0.25">
      <c r="A227">
        <v>18</v>
      </c>
      <c r="B227" t="s">
        <v>178</v>
      </c>
      <c r="C227">
        <v>50</v>
      </c>
      <c r="D227" t="s">
        <v>99</v>
      </c>
      <c r="E227" t="s">
        <v>15</v>
      </c>
      <c r="F227">
        <v>13.208</v>
      </c>
      <c r="G227" t="s">
        <v>14</v>
      </c>
    </row>
    <row r="228" spans="1:7" x14ac:dyDescent="0.25">
      <c r="A228">
        <v>18</v>
      </c>
      <c r="B228" t="s">
        <v>178</v>
      </c>
      <c r="C228">
        <v>60</v>
      </c>
      <c r="D228" t="s">
        <v>18</v>
      </c>
      <c r="E228" t="s">
        <v>15</v>
      </c>
      <c r="F228">
        <v>81.228999999999999</v>
      </c>
      <c r="G228" t="s">
        <v>14</v>
      </c>
    </row>
    <row r="229" spans="1:7" x14ac:dyDescent="0.25">
      <c r="A229">
        <v>18</v>
      </c>
      <c r="B229" t="s">
        <v>178</v>
      </c>
      <c r="C229">
        <v>70</v>
      </c>
      <c r="D229" t="s">
        <v>21</v>
      </c>
      <c r="E229" t="s">
        <v>11</v>
      </c>
      <c r="F229">
        <v>1</v>
      </c>
      <c r="G229" t="s">
        <v>14</v>
      </c>
    </row>
    <row r="230" spans="1:7" x14ac:dyDescent="0.25">
      <c r="A230">
        <v>18</v>
      </c>
      <c r="B230" t="s">
        <v>178</v>
      </c>
      <c r="C230">
        <v>80</v>
      </c>
      <c r="D230" t="s">
        <v>108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178</v>
      </c>
      <c r="C231">
        <v>90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178</v>
      </c>
      <c r="C232">
        <v>100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178</v>
      </c>
      <c r="C233">
        <v>110</v>
      </c>
      <c r="D233" t="s">
        <v>109</v>
      </c>
      <c r="E233" t="s">
        <v>13</v>
      </c>
      <c r="F233">
        <v>0.66100000000000003</v>
      </c>
      <c r="G233" t="s">
        <v>14</v>
      </c>
    </row>
    <row r="234" spans="1:7" x14ac:dyDescent="0.25">
      <c r="A234">
        <v>18</v>
      </c>
      <c r="B234" t="s">
        <v>178</v>
      </c>
      <c r="C234">
        <v>120</v>
      </c>
      <c r="D234" t="s">
        <v>180</v>
      </c>
      <c r="E234" t="s">
        <v>11</v>
      </c>
      <c r="F234">
        <v>1</v>
      </c>
      <c r="G234" t="s">
        <v>16</v>
      </c>
    </row>
    <row r="235" spans="1:7" x14ac:dyDescent="0.25">
      <c r="A235">
        <v>18</v>
      </c>
      <c r="B235" t="s">
        <v>178</v>
      </c>
      <c r="C235">
        <v>130</v>
      </c>
      <c r="D235" t="s">
        <v>181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182</v>
      </c>
      <c r="C236">
        <v>10</v>
      </c>
      <c r="D236" t="s">
        <v>183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182</v>
      </c>
      <c r="C237">
        <v>20</v>
      </c>
      <c r="D237" t="s">
        <v>96</v>
      </c>
      <c r="E237" t="s">
        <v>97</v>
      </c>
      <c r="F237">
        <v>0.92</v>
      </c>
      <c r="G237" t="s">
        <v>14</v>
      </c>
    </row>
    <row r="238" spans="1:7" x14ac:dyDescent="0.25">
      <c r="A238">
        <v>19</v>
      </c>
      <c r="B238" t="s">
        <v>182</v>
      </c>
      <c r="C238">
        <v>30</v>
      </c>
      <c r="D238" t="s">
        <v>101</v>
      </c>
      <c r="E238" t="s">
        <v>11</v>
      </c>
      <c r="F238">
        <v>1.5489999999999999</v>
      </c>
      <c r="G238" t="s">
        <v>16</v>
      </c>
    </row>
    <row r="239" spans="1:7" x14ac:dyDescent="0.25">
      <c r="A239">
        <v>19</v>
      </c>
      <c r="B239" t="s">
        <v>182</v>
      </c>
      <c r="C239">
        <v>40</v>
      </c>
      <c r="D239" t="s">
        <v>98</v>
      </c>
      <c r="E239" t="s">
        <v>15</v>
      </c>
      <c r="F239">
        <v>1.5489999999999999</v>
      </c>
      <c r="G239" t="s">
        <v>16</v>
      </c>
    </row>
    <row r="240" spans="1:7" x14ac:dyDescent="0.25">
      <c r="A240">
        <v>19</v>
      </c>
      <c r="B240" t="s">
        <v>182</v>
      </c>
      <c r="C240">
        <v>50</v>
      </c>
      <c r="D240" t="s">
        <v>99</v>
      </c>
      <c r="E240" t="s">
        <v>15</v>
      </c>
      <c r="F240">
        <v>14.427</v>
      </c>
      <c r="G240" t="s">
        <v>14</v>
      </c>
    </row>
    <row r="241" spans="1:7" x14ac:dyDescent="0.25">
      <c r="A241">
        <v>19</v>
      </c>
      <c r="B241" t="s">
        <v>182</v>
      </c>
      <c r="C241">
        <v>60</v>
      </c>
      <c r="D241" t="s">
        <v>18</v>
      </c>
      <c r="E241" t="s">
        <v>15</v>
      </c>
      <c r="F241">
        <v>88.727000000000004</v>
      </c>
      <c r="G241" t="s">
        <v>14</v>
      </c>
    </row>
    <row r="242" spans="1:7" x14ac:dyDescent="0.25">
      <c r="A242">
        <v>19</v>
      </c>
      <c r="B242" t="s">
        <v>182</v>
      </c>
      <c r="C242">
        <v>70</v>
      </c>
      <c r="D242" t="s">
        <v>21</v>
      </c>
      <c r="E242" t="s">
        <v>11</v>
      </c>
      <c r="F242">
        <v>1</v>
      </c>
      <c r="G242" t="s">
        <v>14</v>
      </c>
    </row>
    <row r="243" spans="1:7" x14ac:dyDescent="0.25">
      <c r="A243">
        <v>19</v>
      </c>
      <c r="B243" t="s">
        <v>182</v>
      </c>
      <c r="C243">
        <v>80</v>
      </c>
      <c r="D243" t="s">
        <v>108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182</v>
      </c>
      <c r="C244">
        <v>90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182</v>
      </c>
      <c r="C245">
        <v>100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182</v>
      </c>
      <c r="C246">
        <v>110</v>
      </c>
      <c r="D246" t="s">
        <v>109</v>
      </c>
      <c r="E246" t="s">
        <v>13</v>
      </c>
      <c r="F246">
        <v>0.66100000000000003</v>
      </c>
      <c r="G246" t="s">
        <v>14</v>
      </c>
    </row>
    <row r="247" spans="1:7" x14ac:dyDescent="0.25">
      <c r="A247">
        <v>19</v>
      </c>
      <c r="B247" t="s">
        <v>182</v>
      </c>
      <c r="C247">
        <v>120</v>
      </c>
      <c r="D247" t="s">
        <v>184</v>
      </c>
      <c r="E247" t="s">
        <v>11</v>
      </c>
      <c r="F247">
        <v>1</v>
      </c>
      <c r="G247" t="s">
        <v>16</v>
      </c>
    </row>
    <row r="248" spans="1:7" x14ac:dyDescent="0.25">
      <c r="A248">
        <v>19</v>
      </c>
      <c r="B248" t="s">
        <v>182</v>
      </c>
      <c r="C248">
        <v>130</v>
      </c>
      <c r="D248" t="s">
        <v>185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186</v>
      </c>
      <c r="C249">
        <v>10</v>
      </c>
      <c r="D249" t="s">
        <v>187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186</v>
      </c>
      <c r="C250">
        <v>20</v>
      </c>
      <c r="D250" t="s">
        <v>96</v>
      </c>
      <c r="E250" t="s">
        <v>97</v>
      </c>
      <c r="F250">
        <v>1.014</v>
      </c>
      <c r="G250" t="s">
        <v>14</v>
      </c>
    </row>
    <row r="251" spans="1:7" x14ac:dyDescent="0.25">
      <c r="A251">
        <v>20</v>
      </c>
      <c r="B251" t="s">
        <v>186</v>
      </c>
      <c r="C251">
        <v>30</v>
      </c>
      <c r="D251" t="s">
        <v>101</v>
      </c>
      <c r="E251" t="s">
        <v>11</v>
      </c>
      <c r="F251">
        <v>1.702</v>
      </c>
      <c r="G251" t="s">
        <v>16</v>
      </c>
    </row>
    <row r="252" spans="1:7" x14ac:dyDescent="0.25">
      <c r="A252">
        <v>20</v>
      </c>
      <c r="B252" t="s">
        <v>186</v>
      </c>
      <c r="C252">
        <v>40</v>
      </c>
      <c r="D252" t="s">
        <v>98</v>
      </c>
      <c r="E252" t="s">
        <v>15</v>
      </c>
      <c r="F252">
        <v>1.702</v>
      </c>
      <c r="G252" t="s">
        <v>16</v>
      </c>
    </row>
    <row r="253" spans="1:7" x14ac:dyDescent="0.25">
      <c r="A253">
        <v>20</v>
      </c>
      <c r="B253" t="s">
        <v>186</v>
      </c>
      <c r="C253">
        <v>50</v>
      </c>
      <c r="D253" t="s">
        <v>99</v>
      </c>
      <c r="E253" t="s">
        <v>15</v>
      </c>
      <c r="F253">
        <v>15.037000000000001</v>
      </c>
      <c r="G253" t="s">
        <v>14</v>
      </c>
    </row>
    <row r="254" spans="1:7" x14ac:dyDescent="0.25">
      <c r="A254">
        <v>20</v>
      </c>
      <c r="B254" t="s">
        <v>186</v>
      </c>
      <c r="C254">
        <v>60</v>
      </c>
      <c r="D254" t="s">
        <v>18</v>
      </c>
      <c r="E254" t="s">
        <v>15</v>
      </c>
      <c r="F254">
        <v>92.475999999999999</v>
      </c>
      <c r="G254" t="s">
        <v>14</v>
      </c>
    </row>
    <row r="255" spans="1:7" x14ac:dyDescent="0.25">
      <c r="A255">
        <v>20</v>
      </c>
      <c r="B255" t="s">
        <v>186</v>
      </c>
      <c r="C255">
        <v>70</v>
      </c>
      <c r="D255" t="s">
        <v>21</v>
      </c>
      <c r="E255" t="s">
        <v>11</v>
      </c>
      <c r="F255">
        <v>1</v>
      </c>
      <c r="G255" t="s">
        <v>14</v>
      </c>
    </row>
    <row r="256" spans="1:7" x14ac:dyDescent="0.25">
      <c r="A256">
        <v>20</v>
      </c>
      <c r="B256" t="s">
        <v>186</v>
      </c>
      <c r="C256">
        <v>80</v>
      </c>
      <c r="D256" t="s">
        <v>108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186</v>
      </c>
      <c r="C257">
        <v>90</v>
      </c>
      <c r="D257" t="s">
        <v>22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186</v>
      </c>
      <c r="C258">
        <v>100</v>
      </c>
      <c r="D258" t="s">
        <v>23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186</v>
      </c>
      <c r="C259">
        <v>110</v>
      </c>
      <c r="D259" t="s">
        <v>109</v>
      </c>
      <c r="E259" t="s">
        <v>13</v>
      </c>
      <c r="F259">
        <v>0.66100000000000003</v>
      </c>
      <c r="G259" t="s">
        <v>14</v>
      </c>
    </row>
    <row r="260" spans="1:7" x14ac:dyDescent="0.25">
      <c r="A260">
        <v>20</v>
      </c>
      <c r="B260" t="s">
        <v>186</v>
      </c>
      <c r="C260">
        <v>120</v>
      </c>
      <c r="D260" t="s">
        <v>188</v>
      </c>
      <c r="E260" t="s">
        <v>11</v>
      </c>
      <c r="F260">
        <v>1</v>
      </c>
      <c r="G260" t="s">
        <v>16</v>
      </c>
    </row>
    <row r="261" spans="1:7" x14ac:dyDescent="0.25">
      <c r="A261">
        <v>20</v>
      </c>
      <c r="B261" t="s">
        <v>186</v>
      </c>
      <c r="C261">
        <v>130</v>
      </c>
      <c r="D261" t="s">
        <v>189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190</v>
      </c>
      <c r="C262">
        <v>10</v>
      </c>
      <c r="D262" t="s">
        <v>191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190</v>
      </c>
      <c r="C263">
        <v>20</v>
      </c>
      <c r="D263" t="s">
        <v>96</v>
      </c>
      <c r="E263" t="s">
        <v>97</v>
      </c>
      <c r="F263">
        <v>1.107</v>
      </c>
      <c r="G263" t="s">
        <v>14</v>
      </c>
    </row>
    <row r="264" spans="1:7" x14ac:dyDescent="0.25">
      <c r="A264">
        <v>21</v>
      </c>
      <c r="B264" t="s">
        <v>190</v>
      </c>
      <c r="C264">
        <v>30</v>
      </c>
      <c r="D264" t="s">
        <v>101</v>
      </c>
      <c r="E264" t="s">
        <v>11</v>
      </c>
      <c r="F264">
        <v>1.8540000000000001</v>
      </c>
      <c r="G264" t="s">
        <v>16</v>
      </c>
    </row>
    <row r="265" spans="1:7" x14ac:dyDescent="0.25">
      <c r="A265">
        <v>21</v>
      </c>
      <c r="B265" t="s">
        <v>190</v>
      </c>
      <c r="C265">
        <v>40</v>
      </c>
      <c r="D265" t="s">
        <v>98</v>
      </c>
      <c r="E265" t="s">
        <v>15</v>
      </c>
      <c r="F265">
        <v>1.8540000000000001</v>
      </c>
      <c r="G265" t="s">
        <v>16</v>
      </c>
    </row>
    <row r="266" spans="1:7" x14ac:dyDescent="0.25">
      <c r="A266">
        <v>21</v>
      </c>
      <c r="B266" t="s">
        <v>190</v>
      </c>
      <c r="C266">
        <v>50</v>
      </c>
      <c r="D266" t="s">
        <v>99</v>
      </c>
      <c r="E266" t="s">
        <v>15</v>
      </c>
      <c r="F266">
        <v>15.646000000000001</v>
      </c>
      <c r="G266" t="s">
        <v>14</v>
      </c>
    </row>
    <row r="267" spans="1:7" x14ac:dyDescent="0.25">
      <c r="A267">
        <v>21</v>
      </c>
      <c r="B267" t="s">
        <v>190</v>
      </c>
      <c r="C267">
        <v>60</v>
      </c>
      <c r="D267" t="s">
        <v>18</v>
      </c>
      <c r="E267" t="s">
        <v>15</v>
      </c>
      <c r="F267">
        <v>96.224999999999994</v>
      </c>
      <c r="G267" t="s">
        <v>14</v>
      </c>
    </row>
    <row r="268" spans="1:7" x14ac:dyDescent="0.25">
      <c r="A268">
        <v>21</v>
      </c>
      <c r="B268" t="s">
        <v>190</v>
      </c>
      <c r="C268">
        <v>70</v>
      </c>
      <c r="D268" t="s">
        <v>21</v>
      </c>
      <c r="E268" t="s">
        <v>11</v>
      </c>
      <c r="F268">
        <v>1</v>
      </c>
      <c r="G268" t="s">
        <v>14</v>
      </c>
    </row>
    <row r="269" spans="1:7" x14ac:dyDescent="0.25">
      <c r="A269">
        <v>21</v>
      </c>
      <c r="B269" t="s">
        <v>190</v>
      </c>
      <c r="C269">
        <v>80</v>
      </c>
      <c r="D269" t="s">
        <v>108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190</v>
      </c>
      <c r="C270">
        <v>90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190</v>
      </c>
      <c r="C271">
        <v>100</v>
      </c>
      <c r="D271" t="s">
        <v>23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190</v>
      </c>
      <c r="C272">
        <v>110</v>
      </c>
      <c r="D272" t="s">
        <v>109</v>
      </c>
      <c r="E272" t="s">
        <v>13</v>
      </c>
      <c r="F272">
        <v>0.66100000000000003</v>
      </c>
      <c r="G272" t="s">
        <v>14</v>
      </c>
    </row>
    <row r="273" spans="1:7" x14ac:dyDescent="0.25">
      <c r="A273">
        <v>21</v>
      </c>
      <c r="B273" t="s">
        <v>190</v>
      </c>
      <c r="C273">
        <v>120</v>
      </c>
      <c r="D273" t="s">
        <v>192</v>
      </c>
      <c r="E273" t="s">
        <v>11</v>
      </c>
      <c r="F273">
        <v>1</v>
      </c>
      <c r="G273" t="s">
        <v>16</v>
      </c>
    </row>
    <row r="274" spans="1:7" x14ac:dyDescent="0.25">
      <c r="A274">
        <v>21</v>
      </c>
      <c r="B274" t="s">
        <v>190</v>
      </c>
      <c r="C274">
        <v>130</v>
      </c>
      <c r="D274" t="s">
        <v>193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194</v>
      </c>
      <c r="C275">
        <v>10</v>
      </c>
      <c r="D275" t="s">
        <v>195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194</v>
      </c>
      <c r="C276">
        <v>20</v>
      </c>
      <c r="D276" t="s">
        <v>96</v>
      </c>
      <c r="E276" t="s">
        <v>97</v>
      </c>
      <c r="F276">
        <v>0.46400000000000002</v>
      </c>
      <c r="G276" t="s">
        <v>14</v>
      </c>
    </row>
    <row r="277" spans="1:7" x14ac:dyDescent="0.25">
      <c r="A277">
        <v>22</v>
      </c>
      <c r="B277" t="s">
        <v>194</v>
      </c>
      <c r="C277">
        <v>30</v>
      </c>
      <c r="D277" t="s">
        <v>101</v>
      </c>
      <c r="E277" t="s">
        <v>11</v>
      </c>
      <c r="F277">
        <v>2.0569999999999999</v>
      </c>
      <c r="G277" t="s">
        <v>16</v>
      </c>
    </row>
    <row r="278" spans="1:7" x14ac:dyDescent="0.25">
      <c r="A278">
        <v>22</v>
      </c>
      <c r="B278" t="s">
        <v>194</v>
      </c>
      <c r="C278">
        <v>40</v>
      </c>
      <c r="D278" t="s">
        <v>98</v>
      </c>
      <c r="E278" t="s">
        <v>15</v>
      </c>
      <c r="F278">
        <v>2.0569999999999999</v>
      </c>
      <c r="G278" t="s">
        <v>16</v>
      </c>
    </row>
    <row r="279" spans="1:7" x14ac:dyDescent="0.25">
      <c r="A279">
        <v>22</v>
      </c>
      <c r="B279" t="s">
        <v>194</v>
      </c>
      <c r="C279">
        <v>50</v>
      </c>
      <c r="D279" t="s">
        <v>99</v>
      </c>
      <c r="E279" t="s">
        <v>15</v>
      </c>
      <c r="F279">
        <v>11.582000000000001</v>
      </c>
      <c r="G279" t="s">
        <v>14</v>
      </c>
    </row>
    <row r="280" spans="1:7" x14ac:dyDescent="0.25">
      <c r="A280">
        <v>22</v>
      </c>
      <c r="B280" t="s">
        <v>194</v>
      </c>
      <c r="C280">
        <v>60</v>
      </c>
      <c r="D280" t="s">
        <v>18</v>
      </c>
      <c r="E280" t="s">
        <v>15</v>
      </c>
      <c r="F280">
        <v>71.231999999999999</v>
      </c>
      <c r="G280" t="s">
        <v>14</v>
      </c>
    </row>
    <row r="281" spans="1:7" x14ac:dyDescent="0.25">
      <c r="A281">
        <v>22</v>
      </c>
      <c r="B281" t="s">
        <v>194</v>
      </c>
      <c r="C281">
        <v>70</v>
      </c>
      <c r="D281" t="s">
        <v>21</v>
      </c>
      <c r="E281" t="s">
        <v>11</v>
      </c>
      <c r="F281">
        <v>1</v>
      </c>
      <c r="G281" t="s">
        <v>14</v>
      </c>
    </row>
    <row r="282" spans="1:7" x14ac:dyDescent="0.25">
      <c r="A282">
        <v>22</v>
      </c>
      <c r="B282" t="s">
        <v>194</v>
      </c>
      <c r="C282">
        <v>80</v>
      </c>
      <c r="D282" t="s">
        <v>108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194</v>
      </c>
      <c r="C283">
        <v>90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194</v>
      </c>
      <c r="C284">
        <v>100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194</v>
      </c>
      <c r="C285">
        <v>110</v>
      </c>
      <c r="D285" t="s">
        <v>109</v>
      </c>
      <c r="E285" t="s">
        <v>13</v>
      </c>
      <c r="F285">
        <v>0.67600000000000005</v>
      </c>
      <c r="G285" t="s">
        <v>14</v>
      </c>
    </row>
    <row r="286" spans="1:7" x14ac:dyDescent="0.25">
      <c r="A286">
        <v>22</v>
      </c>
      <c r="B286" t="s">
        <v>194</v>
      </c>
      <c r="C286">
        <v>120</v>
      </c>
      <c r="D286" t="s">
        <v>196</v>
      </c>
      <c r="E286" t="s">
        <v>11</v>
      </c>
      <c r="F286">
        <v>1</v>
      </c>
      <c r="G286" t="s">
        <v>16</v>
      </c>
    </row>
    <row r="287" spans="1:7" x14ac:dyDescent="0.25">
      <c r="A287">
        <v>22</v>
      </c>
      <c r="B287" t="s">
        <v>194</v>
      </c>
      <c r="C287">
        <v>130</v>
      </c>
      <c r="D287" t="s">
        <v>197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198</v>
      </c>
      <c r="C288">
        <v>10</v>
      </c>
      <c r="D288" t="s">
        <v>199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198</v>
      </c>
      <c r="C289">
        <v>20</v>
      </c>
      <c r="D289" t="s">
        <v>96</v>
      </c>
      <c r="E289" t="s">
        <v>97</v>
      </c>
      <c r="F289">
        <v>0.56000000000000005</v>
      </c>
      <c r="G289" t="s">
        <v>14</v>
      </c>
    </row>
    <row r="290" spans="1:7" x14ac:dyDescent="0.25">
      <c r="A290">
        <v>23</v>
      </c>
      <c r="B290" t="s">
        <v>198</v>
      </c>
      <c r="C290">
        <v>30</v>
      </c>
      <c r="D290" t="s">
        <v>101</v>
      </c>
      <c r="E290" t="s">
        <v>11</v>
      </c>
      <c r="F290">
        <v>2.0569999999999999</v>
      </c>
      <c r="G290" t="s">
        <v>16</v>
      </c>
    </row>
    <row r="291" spans="1:7" x14ac:dyDescent="0.25">
      <c r="A291">
        <v>23</v>
      </c>
      <c r="B291" t="s">
        <v>198</v>
      </c>
      <c r="C291">
        <v>40</v>
      </c>
      <c r="D291" t="s">
        <v>98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23</v>
      </c>
      <c r="B292" t="s">
        <v>198</v>
      </c>
      <c r="C292">
        <v>50</v>
      </c>
      <c r="D292" t="s">
        <v>99</v>
      </c>
      <c r="E292" t="s">
        <v>15</v>
      </c>
      <c r="F292">
        <v>12.192</v>
      </c>
      <c r="G292" t="s">
        <v>14</v>
      </c>
    </row>
    <row r="293" spans="1:7" x14ac:dyDescent="0.25">
      <c r="A293">
        <v>23</v>
      </c>
      <c r="B293" t="s">
        <v>198</v>
      </c>
      <c r="C293">
        <v>60</v>
      </c>
      <c r="D293" t="s">
        <v>18</v>
      </c>
      <c r="E293" t="s">
        <v>15</v>
      </c>
      <c r="F293">
        <v>74.980999999999995</v>
      </c>
      <c r="G293" t="s">
        <v>14</v>
      </c>
    </row>
    <row r="294" spans="1:7" x14ac:dyDescent="0.25">
      <c r="A294">
        <v>23</v>
      </c>
      <c r="B294" t="s">
        <v>198</v>
      </c>
      <c r="C294">
        <v>70</v>
      </c>
      <c r="D294" t="s">
        <v>21</v>
      </c>
      <c r="E294" t="s">
        <v>11</v>
      </c>
      <c r="F294">
        <v>1</v>
      </c>
      <c r="G294" t="s">
        <v>14</v>
      </c>
    </row>
    <row r="295" spans="1:7" x14ac:dyDescent="0.25">
      <c r="A295">
        <v>23</v>
      </c>
      <c r="B295" t="s">
        <v>198</v>
      </c>
      <c r="C295">
        <v>80</v>
      </c>
      <c r="D295" t="s">
        <v>108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198</v>
      </c>
      <c r="C296">
        <v>90</v>
      </c>
      <c r="D296" t="s">
        <v>22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198</v>
      </c>
      <c r="C297">
        <v>100</v>
      </c>
      <c r="D297" t="s">
        <v>23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198</v>
      </c>
      <c r="C298">
        <v>110</v>
      </c>
      <c r="D298" t="s">
        <v>109</v>
      </c>
      <c r="E298" t="s">
        <v>13</v>
      </c>
      <c r="F298">
        <v>0.67600000000000005</v>
      </c>
      <c r="G298" t="s">
        <v>14</v>
      </c>
    </row>
    <row r="299" spans="1:7" x14ac:dyDescent="0.25">
      <c r="A299">
        <v>23</v>
      </c>
      <c r="B299" t="s">
        <v>198</v>
      </c>
      <c r="C299">
        <v>120</v>
      </c>
      <c r="D299" t="s">
        <v>200</v>
      </c>
      <c r="E299" t="s">
        <v>11</v>
      </c>
      <c r="F299">
        <v>1</v>
      </c>
      <c r="G299" t="s">
        <v>16</v>
      </c>
    </row>
    <row r="300" spans="1:7" x14ac:dyDescent="0.25">
      <c r="A300">
        <v>23</v>
      </c>
      <c r="B300" t="s">
        <v>198</v>
      </c>
      <c r="C300">
        <v>130</v>
      </c>
      <c r="D300" t="s">
        <v>201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202</v>
      </c>
      <c r="C301">
        <v>10</v>
      </c>
      <c r="D301" t="s">
        <v>203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202</v>
      </c>
      <c r="C302">
        <v>20</v>
      </c>
      <c r="D302" t="s">
        <v>96</v>
      </c>
      <c r="E302" t="s">
        <v>97</v>
      </c>
      <c r="F302">
        <v>0.65600000000000003</v>
      </c>
      <c r="G302" t="s">
        <v>14</v>
      </c>
    </row>
    <row r="303" spans="1:7" x14ac:dyDescent="0.25">
      <c r="A303">
        <v>24</v>
      </c>
      <c r="B303" t="s">
        <v>202</v>
      </c>
      <c r="C303">
        <v>30</v>
      </c>
      <c r="D303" t="s">
        <v>101</v>
      </c>
      <c r="E303" t="s">
        <v>11</v>
      </c>
      <c r="F303">
        <v>2.0569999999999999</v>
      </c>
      <c r="G303" t="s">
        <v>16</v>
      </c>
    </row>
    <row r="304" spans="1:7" x14ac:dyDescent="0.25">
      <c r="A304">
        <v>24</v>
      </c>
      <c r="B304" t="s">
        <v>202</v>
      </c>
      <c r="C304">
        <v>40</v>
      </c>
      <c r="D304" t="s">
        <v>98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24</v>
      </c>
      <c r="B305" t="s">
        <v>202</v>
      </c>
      <c r="C305">
        <v>50</v>
      </c>
      <c r="D305" t="s">
        <v>99</v>
      </c>
      <c r="E305" t="s">
        <v>15</v>
      </c>
      <c r="F305">
        <v>12.802</v>
      </c>
      <c r="G305" t="s">
        <v>14</v>
      </c>
    </row>
    <row r="306" spans="1:7" x14ac:dyDescent="0.25">
      <c r="A306">
        <v>24</v>
      </c>
      <c r="B306" t="s">
        <v>202</v>
      </c>
      <c r="C306">
        <v>60</v>
      </c>
      <c r="D306" t="s">
        <v>18</v>
      </c>
      <c r="E306" t="s">
        <v>15</v>
      </c>
      <c r="F306">
        <v>78.73</v>
      </c>
      <c r="G306" t="s">
        <v>14</v>
      </c>
    </row>
    <row r="307" spans="1:7" x14ac:dyDescent="0.25">
      <c r="A307">
        <v>24</v>
      </c>
      <c r="B307" t="s">
        <v>202</v>
      </c>
      <c r="C307">
        <v>70</v>
      </c>
      <c r="D307" t="s">
        <v>21</v>
      </c>
      <c r="E307" t="s">
        <v>11</v>
      </c>
      <c r="F307">
        <v>1</v>
      </c>
      <c r="G307" t="s">
        <v>14</v>
      </c>
    </row>
    <row r="308" spans="1:7" x14ac:dyDescent="0.25">
      <c r="A308">
        <v>24</v>
      </c>
      <c r="B308" t="s">
        <v>202</v>
      </c>
      <c r="C308">
        <v>80</v>
      </c>
      <c r="D308" t="s">
        <v>108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202</v>
      </c>
      <c r="C309">
        <v>90</v>
      </c>
      <c r="D309" t="s">
        <v>22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202</v>
      </c>
      <c r="C310">
        <v>100</v>
      </c>
      <c r="D310" t="s">
        <v>23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202</v>
      </c>
      <c r="C311">
        <v>110</v>
      </c>
      <c r="D311" t="s">
        <v>109</v>
      </c>
      <c r="E311" t="s">
        <v>13</v>
      </c>
      <c r="F311">
        <v>0.67600000000000005</v>
      </c>
      <c r="G311" t="s">
        <v>14</v>
      </c>
    </row>
    <row r="312" spans="1:7" x14ac:dyDescent="0.25">
      <c r="A312">
        <v>24</v>
      </c>
      <c r="B312" t="s">
        <v>202</v>
      </c>
      <c r="C312">
        <v>120</v>
      </c>
      <c r="D312" t="s">
        <v>204</v>
      </c>
      <c r="E312" t="s">
        <v>11</v>
      </c>
      <c r="F312">
        <v>1</v>
      </c>
      <c r="G312" t="s">
        <v>16</v>
      </c>
    </row>
    <row r="313" spans="1:7" x14ac:dyDescent="0.25">
      <c r="A313">
        <v>24</v>
      </c>
      <c r="B313" t="s">
        <v>202</v>
      </c>
      <c r="C313">
        <v>130</v>
      </c>
      <c r="D313" t="s">
        <v>205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206</v>
      </c>
      <c r="C314">
        <v>10</v>
      </c>
      <c r="D314" t="s">
        <v>207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206</v>
      </c>
      <c r="C315">
        <v>20</v>
      </c>
      <c r="D315" t="s">
        <v>96</v>
      </c>
      <c r="E315" t="s">
        <v>97</v>
      </c>
      <c r="F315">
        <v>0.752</v>
      </c>
      <c r="G315" t="s">
        <v>14</v>
      </c>
    </row>
    <row r="316" spans="1:7" x14ac:dyDescent="0.25">
      <c r="A316">
        <v>25</v>
      </c>
      <c r="B316" t="s">
        <v>206</v>
      </c>
      <c r="C316">
        <v>30</v>
      </c>
      <c r="D316" t="s">
        <v>101</v>
      </c>
      <c r="E316" t="s">
        <v>11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206</v>
      </c>
      <c r="C317">
        <v>40</v>
      </c>
      <c r="D317" t="s">
        <v>98</v>
      </c>
      <c r="E317" t="s">
        <v>15</v>
      </c>
      <c r="F317">
        <v>2.0569999999999999</v>
      </c>
      <c r="G317" t="s">
        <v>16</v>
      </c>
    </row>
    <row r="318" spans="1:7" x14ac:dyDescent="0.25">
      <c r="A318">
        <v>25</v>
      </c>
      <c r="B318" t="s">
        <v>206</v>
      </c>
      <c r="C318">
        <v>50</v>
      </c>
      <c r="D318" t="s">
        <v>99</v>
      </c>
      <c r="E318" t="s">
        <v>15</v>
      </c>
      <c r="F318">
        <v>13.411</v>
      </c>
      <c r="G318" t="s">
        <v>14</v>
      </c>
    </row>
    <row r="319" spans="1:7" x14ac:dyDescent="0.25">
      <c r="A319">
        <v>25</v>
      </c>
      <c r="B319" t="s">
        <v>206</v>
      </c>
      <c r="C319">
        <v>60</v>
      </c>
      <c r="D319" t="s">
        <v>18</v>
      </c>
      <c r="E319" t="s">
        <v>15</v>
      </c>
      <c r="F319">
        <v>82.478999999999999</v>
      </c>
      <c r="G319" t="s">
        <v>14</v>
      </c>
    </row>
    <row r="320" spans="1:7" x14ac:dyDescent="0.25">
      <c r="A320">
        <v>25</v>
      </c>
      <c r="B320" t="s">
        <v>206</v>
      </c>
      <c r="C320">
        <v>70</v>
      </c>
      <c r="D320" t="s">
        <v>21</v>
      </c>
      <c r="E320" t="s">
        <v>11</v>
      </c>
      <c r="F320">
        <v>1</v>
      </c>
      <c r="G320" t="s">
        <v>14</v>
      </c>
    </row>
    <row r="321" spans="1:7" x14ac:dyDescent="0.25">
      <c r="A321">
        <v>25</v>
      </c>
      <c r="B321" t="s">
        <v>206</v>
      </c>
      <c r="C321">
        <v>80</v>
      </c>
      <c r="D321" t="s">
        <v>108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206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206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206</v>
      </c>
      <c r="C324">
        <v>110</v>
      </c>
      <c r="D324" t="s">
        <v>109</v>
      </c>
      <c r="E324" t="s">
        <v>13</v>
      </c>
      <c r="F324">
        <v>0.67600000000000005</v>
      </c>
      <c r="G324" t="s">
        <v>14</v>
      </c>
    </row>
    <row r="325" spans="1:7" x14ac:dyDescent="0.25">
      <c r="A325">
        <v>25</v>
      </c>
      <c r="B325" t="s">
        <v>206</v>
      </c>
      <c r="C325">
        <v>120</v>
      </c>
      <c r="D325" t="s">
        <v>208</v>
      </c>
      <c r="E325" t="s">
        <v>11</v>
      </c>
      <c r="F325">
        <v>1</v>
      </c>
      <c r="G325" t="s">
        <v>16</v>
      </c>
    </row>
    <row r="326" spans="1:7" x14ac:dyDescent="0.25">
      <c r="A326">
        <v>25</v>
      </c>
      <c r="B326" t="s">
        <v>206</v>
      </c>
      <c r="C326">
        <v>130</v>
      </c>
      <c r="D326" t="s">
        <v>209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210</v>
      </c>
      <c r="C327">
        <v>10</v>
      </c>
      <c r="D327" t="s">
        <v>211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210</v>
      </c>
      <c r="C328">
        <v>20</v>
      </c>
      <c r="D328" t="s">
        <v>96</v>
      </c>
      <c r="E328" t="s">
        <v>97</v>
      </c>
      <c r="F328">
        <v>0.94399999999999995</v>
      </c>
      <c r="G328" t="s">
        <v>14</v>
      </c>
    </row>
    <row r="329" spans="1:7" x14ac:dyDescent="0.25">
      <c r="A329">
        <v>26</v>
      </c>
      <c r="B329" t="s">
        <v>210</v>
      </c>
      <c r="C329">
        <v>30</v>
      </c>
      <c r="D329" t="s">
        <v>101</v>
      </c>
      <c r="E329" t="s">
        <v>11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210</v>
      </c>
      <c r="C330">
        <v>40</v>
      </c>
      <c r="D330" t="s">
        <v>98</v>
      </c>
      <c r="E330" t="s">
        <v>15</v>
      </c>
      <c r="F330">
        <v>2.0569999999999999</v>
      </c>
      <c r="G330" t="s">
        <v>16</v>
      </c>
    </row>
    <row r="331" spans="1:7" x14ac:dyDescent="0.25">
      <c r="A331">
        <v>26</v>
      </c>
      <c r="B331" t="s">
        <v>210</v>
      </c>
      <c r="C331">
        <v>50</v>
      </c>
      <c r="D331" t="s">
        <v>99</v>
      </c>
      <c r="E331" t="s">
        <v>15</v>
      </c>
      <c r="F331">
        <v>14.63</v>
      </c>
      <c r="G331" t="s">
        <v>14</v>
      </c>
    </row>
    <row r="332" spans="1:7" x14ac:dyDescent="0.25">
      <c r="A332">
        <v>26</v>
      </c>
      <c r="B332" t="s">
        <v>210</v>
      </c>
      <c r="C332">
        <v>60</v>
      </c>
      <c r="D332" t="s">
        <v>18</v>
      </c>
      <c r="E332" t="s">
        <v>15</v>
      </c>
      <c r="F332">
        <v>89.977000000000004</v>
      </c>
      <c r="G332" t="s">
        <v>14</v>
      </c>
    </row>
    <row r="333" spans="1:7" x14ac:dyDescent="0.25">
      <c r="A333">
        <v>26</v>
      </c>
      <c r="B333" t="s">
        <v>210</v>
      </c>
      <c r="C333">
        <v>70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26</v>
      </c>
      <c r="B334" t="s">
        <v>210</v>
      </c>
      <c r="C334">
        <v>80</v>
      </c>
      <c r="D334" t="s">
        <v>108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210</v>
      </c>
      <c r="C335">
        <v>90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210</v>
      </c>
      <c r="C336">
        <v>100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210</v>
      </c>
      <c r="C337">
        <v>110</v>
      </c>
      <c r="D337" t="s">
        <v>109</v>
      </c>
      <c r="E337" t="s">
        <v>13</v>
      </c>
      <c r="F337">
        <v>0.67600000000000005</v>
      </c>
      <c r="G337" t="s">
        <v>14</v>
      </c>
    </row>
    <row r="338" spans="1:7" x14ac:dyDescent="0.25">
      <c r="A338">
        <v>26</v>
      </c>
      <c r="B338" t="s">
        <v>210</v>
      </c>
      <c r="C338">
        <v>120</v>
      </c>
      <c r="D338" t="s">
        <v>212</v>
      </c>
      <c r="E338" t="s">
        <v>11</v>
      </c>
      <c r="F338">
        <v>1</v>
      </c>
      <c r="G338" t="s">
        <v>16</v>
      </c>
    </row>
    <row r="339" spans="1:7" x14ac:dyDescent="0.25">
      <c r="A339">
        <v>26</v>
      </c>
      <c r="B339" t="s">
        <v>210</v>
      </c>
      <c r="C339">
        <v>130</v>
      </c>
      <c r="D339" t="s">
        <v>213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214</v>
      </c>
      <c r="C340">
        <v>10</v>
      </c>
      <c r="D340" t="s">
        <v>215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214</v>
      </c>
      <c r="C341">
        <v>20</v>
      </c>
      <c r="D341" t="s">
        <v>96</v>
      </c>
      <c r="E341" t="s">
        <v>97</v>
      </c>
      <c r="F341">
        <v>1.04</v>
      </c>
      <c r="G341" t="s">
        <v>14</v>
      </c>
    </row>
    <row r="342" spans="1:7" x14ac:dyDescent="0.25">
      <c r="A342">
        <v>27</v>
      </c>
      <c r="B342" t="s">
        <v>214</v>
      </c>
      <c r="C342">
        <v>30</v>
      </c>
      <c r="D342" t="s">
        <v>101</v>
      </c>
      <c r="E342" t="s">
        <v>11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214</v>
      </c>
      <c r="C343">
        <v>40</v>
      </c>
      <c r="D343" t="s">
        <v>98</v>
      </c>
      <c r="E343" t="s">
        <v>15</v>
      </c>
      <c r="F343">
        <v>2.0569999999999999</v>
      </c>
      <c r="G343" t="s">
        <v>16</v>
      </c>
    </row>
    <row r="344" spans="1:7" x14ac:dyDescent="0.25">
      <c r="A344">
        <v>27</v>
      </c>
      <c r="B344" t="s">
        <v>214</v>
      </c>
      <c r="C344">
        <v>50</v>
      </c>
      <c r="D344" t="s">
        <v>99</v>
      </c>
      <c r="E344" t="s">
        <v>15</v>
      </c>
      <c r="F344">
        <v>15.24</v>
      </c>
      <c r="G344" t="s">
        <v>14</v>
      </c>
    </row>
    <row r="345" spans="1:7" x14ac:dyDescent="0.25">
      <c r="A345">
        <v>27</v>
      </c>
      <c r="B345" t="s">
        <v>214</v>
      </c>
      <c r="C345">
        <v>60</v>
      </c>
      <c r="D345" t="s">
        <v>18</v>
      </c>
      <c r="E345" t="s">
        <v>15</v>
      </c>
      <c r="F345">
        <v>93.725999999999999</v>
      </c>
      <c r="G345" t="s">
        <v>14</v>
      </c>
    </row>
    <row r="346" spans="1:7" x14ac:dyDescent="0.25">
      <c r="A346">
        <v>27</v>
      </c>
      <c r="B346" t="s">
        <v>214</v>
      </c>
      <c r="C346">
        <v>70</v>
      </c>
      <c r="D346" t="s">
        <v>21</v>
      </c>
      <c r="E346" t="s">
        <v>11</v>
      </c>
      <c r="F346">
        <v>1</v>
      </c>
      <c r="G346" t="s">
        <v>14</v>
      </c>
    </row>
    <row r="347" spans="1:7" x14ac:dyDescent="0.25">
      <c r="A347">
        <v>27</v>
      </c>
      <c r="B347" t="s">
        <v>214</v>
      </c>
      <c r="C347">
        <v>80</v>
      </c>
      <c r="D347" t="s">
        <v>108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214</v>
      </c>
      <c r="C348">
        <v>90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214</v>
      </c>
      <c r="C349">
        <v>100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214</v>
      </c>
      <c r="C350">
        <v>110</v>
      </c>
      <c r="D350" t="s">
        <v>109</v>
      </c>
      <c r="E350" t="s">
        <v>13</v>
      </c>
      <c r="F350">
        <v>0.67600000000000005</v>
      </c>
      <c r="G350" t="s">
        <v>14</v>
      </c>
    </row>
    <row r="351" spans="1:7" x14ac:dyDescent="0.25">
      <c r="A351">
        <v>27</v>
      </c>
      <c r="B351" t="s">
        <v>214</v>
      </c>
      <c r="C351">
        <v>120</v>
      </c>
      <c r="D351" t="s">
        <v>216</v>
      </c>
      <c r="E351" t="s">
        <v>11</v>
      </c>
      <c r="F351">
        <v>1</v>
      </c>
      <c r="G351" t="s">
        <v>16</v>
      </c>
    </row>
    <row r="352" spans="1:7" x14ac:dyDescent="0.25">
      <c r="A352">
        <v>27</v>
      </c>
      <c r="B352" t="s">
        <v>214</v>
      </c>
      <c r="C352">
        <v>130</v>
      </c>
      <c r="D352" t="s">
        <v>217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218</v>
      </c>
      <c r="C353">
        <v>10</v>
      </c>
      <c r="D353" t="s">
        <v>219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218</v>
      </c>
      <c r="C354">
        <v>20</v>
      </c>
      <c r="D354" t="s">
        <v>96</v>
      </c>
      <c r="E354" t="s">
        <v>97</v>
      </c>
      <c r="F354">
        <v>1.1359999999999999</v>
      </c>
      <c r="G354" t="s">
        <v>14</v>
      </c>
    </row>
    <row r="355" spans="1:7" x14ac:dyDescent="0.25">
      <c r="A355">
        <v>28</v>
      </c>
      <c r="B355" t="s">
        <v>218</v>
      </c>
      <c r="C355">
        <v>30</v>
      </c>
      <c r="D355" t="s">
        <v>101</v>
      </c>
      <c r="E355" t="s">
        <v>11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218</v>
      </c>
      <c r="C356">
        <v>40</v>
      </c>
      <c r="D356" t="s">
        <v>98</v>
      </c>
      <c r="E356" t="s">
        <v>15</v>
      </c>
      <c r="F356">
        <v>2.0569999999999999</v>
      </c>
      <c r="G356" t="s">
        <v>16</v>
      </c>
    </row>
    <row r="357" spans="1:7" x14ac:dyDescent="0.25">
      <c r="A357">
        <v>28</v>
      </c>
      <c r="B357" t="s">
        <v>218</v>
      </c>
      <c r="C357">
        <v>50</v>
      </c>
      <c r="D357" t="s">
        <v>99</v>
      </c>
      <c r="E357" t="s">
        <v>15</v>
      </c>
      <c r="F357">
        <v>15.85</v>
      </c>
      <c r="G357" t="s">
        <v>14</v>
      </c>
    </row>
    <row r="358" spans="1:7" x14ac:dyDescent="0.25">
      <c r="A358">
        <v>28</v>
      </c>
      <c r="B358" t="s">
        <v>218</v>
      </c>
      <c r="C358">
        <v>60</v>
      </c>
      <c r="D358" t="s">
        <v>18</v>
      </c>
      <c r="E358" t="s">
        <v>15</v>
      </c>
      <c r="F358">
        <v>97.474999999999994</v>
      </c>
      <c r="G358" t="s">
        <v>14</v>
      </c>
    </row>
    <row r="359" spans="1:7" x14ac:dyDescent="0.25">
      <c r="A359">
        <v>28</v>
      </c>
      <c r="B359" t="s">
        <v>218</v>
      </c>
      <c r="C359">
        <v>70</v>
      </c>
      <c r="D359" t="s">
        <v>21</v>
      </c>
      <c r="E359" t="s">
        <v>11</v>
      </c>
      <c r="F359">
        <v>1</v>
      </c>
      <c r="G359" t="s">
        <v>14</v>
      </c>
    </row>
    <row r="360" spans="1:7" x14ac:dyDescent="0.25">
      <c r="A360">
        <v>28</v>
      </c>
      <c r="B360" t="s">
        <v>218</v>
      </c>
      <c r="C360">
        <v>80</v>
      </c>
      <c r="D360" t="s">
        <v>108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218</v>
      </c>
      <c r="C361">
        <v>90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218</v>
      </c>
      <c r="C362">
        <v>100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218</v>
      </c>
      <c r="C363">
        <v>110</v>
      </c>
      <c r="D363" t="s">
        <v>109</v>
      </c>
      <c r="E363" t="s">
        <v>13</v>
      </c>
      <c r="F363">
        <v>0.67600000000000005</v>
      </c>
      <c r="G363" t="s">
        <v>14</v>
      </c>
    </row>
    <row r="364" spans="1:7" x14ac:dyDescent="0.25">
      <c r="A364">
        <v>28</v>
      </c>
      <c r="B364" t="s">
        <v>218</v>
      </c>
      <c r="C364">
        <v>120</v>
      </c>
      <c r="D364" t="s">
        <v>220</v>
      </c>
      <c r="E364" t="s">
        <v>11</v>
      </c>
      <c r="F364">
        <v>1</v>
      </c>
      <c r="G364" t="s">
        <v>16</v>
      </c>
    </row>
    <row r="365" spans="1:7" x14ac:dyDescent="0.25">
      <c r="A365">
        <v>28</v>
      </c>
      <c r="B365" t="s">
        <v>218</v>
      </c>
      <c r="C365">
        <v>130</v>
      </c>
      <c r="D365" t="s">
        <v>221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222</v>
      </c>
      <c r="C366">
        <v>10</v>
      </c>
      <c r="D366" t="s">
        <v>223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222</v>
      </c>
      <c r="C367">
        <v>20</v>
      </c>
      <c r="D367" t="s">
        <v>96</v>
      </c>
      <c r="E367" t="s">
        <v>97</v>
      </c>
      <c r="F367">
        <v>0.48699999999999999</v>
      </c>
      <c r="G367" t="s">
        <v>14</v>
      </c>
    </row>
    <row r="368" spans="1:7" x14ac:dyDescent="0.25">
      <c r="A368">
        <v>29</v>
      </c>
      <c r="B368" t="s">
        <v>222</v>
      </c>
      <c r="C368">
        <v>30</v>
      </c>
      <c r="D368" t="s">
        <v>101</v>
      </c>
      <c r="E368" t="s">
        <v>11</v>
      </c>
      <c r="F368">
        <v>2.1589999999999998</v>
      </c>
      <c r="G368" t="s">
        <v>16</v>
      </c>
    </row>
    <row r="369" spans="1:7" x14ac:dyDescent="0.25">
      <c r="A369">
        <v>29</v>
      </c>
      <c r="B369" t="s">
        <v>222</v>
      </c>
      <c r="C369">
        <v>40</v>
      </c>
      <c r="D369" t="s">
        <v>98</v>
      </c>
      <c r="E369" t="s">
        <v>15</v>
      </c>
      <c r="F369">
        <v>2.1589999999999998</v>
      </c>
      <c r="G369" t="s">
        <v>16</v>
      </c>
    </row>
    <row r="370" spans="1:7" x14ac:dyDescent="0.25">
      <c r="A370">
        <v>29</v>
      </c>
      <c r="B370" t="s">
        <v>222</v>
      </c>
      <c r="C370">
        <v>50</v>
      </c>
      <c r="D370" t="s">
        <v>99</v>
      </c>
      <c r="E370" t="s">
        <v>15</v>
      </c>
      <c r="F370">
        <v>11.989000000000001</v>
      </c>
      <c r="G370" t="s">
        <v>14</v>
      </c>
    </row>
    <row r="371" spans="1:7" x14ac:dyDescent="0.25">
      <c r="A371">
        <v>29</v>
      </c>
      <c r="B371" t="s">
        <v>222</v>
      </c>
      <c r="C371">
        <v>60</v>
      </c>
      <c r="D371" t="s">
        <v>18</v>
      </c>
      <c r="E371" t="s">
        <v>15</v>
      </c>
      <c r="F371">
        <v>73.730999999999995</v>
      </c>
      <c r="G371" t="s">
        <v>14</v>
      </c>
    </row>
    <row r="372" spans="1:7" x14ac:dyDescent="0.25">
      <c r="A372">
        <v>29</v>
      </c>
      <c r="B372" t="s">
        <v>222</v>
      </c>
      <c r="C372">
        <v>70</v>
      </c>
      <c r="D372" t="s">
        <v>21</v>
      </c>
      <c r="E372" t="s">
        <v>11</v>
      </c>
      <c r="F372">
        <v>1</v>
      </c>
      <c r="G372" t="s">
        <v>14</v>
      </c>
    </row>
    <row r="373" spans="1:7" x14ac:dyDescent="0.25">
      <c r="A373">
        <v>29</v>
      </c>
      <c r="B373" t="s">
        <v>222</v>
      </c>
      <c r="C373">
        <v>80</v>
      </c>
      <c r="D373" t="s">
        <v>108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222</v>
      </c>
      <c r="C374">
        <v>90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222</v>
      </c>
      <c r="C375">
        <v>100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222</v>
      </c>
      <c r="C376">
        <v>110</v>
      </c>
      <c r="D376" t="s">
        <v>109</v>
      </c>
      <c r="E376" t="s">
        <v>13</v>
      </c>
      <c r="F376">
        <v>0.70599999999999996</v>
      </c>
      <c r="G376" t="s">
        <v>14</v>
      </c>
    </row>
    <row r="377" spans="1:7" x14ac:dyDescent="0.25">
      <c r="A377">
        <v>29</v>
      </c>
      <c r="B377" t="s">
        <v>222</v>
      </c>
      <c r="C377">
        <v>120</v>
      </c>
      <c r="D377" t="s">
        <v>224</v>
      </c>
      <c r="E377" t="s">
        <v>11</v>
      </c>
      <c r="F377">
        <v>1</v>
      </c>
      <c r="G377" t="s">
        <v>16</v>
      </c>
    </row>
    <row r="378" spans="1:7" x14ac:dyDescent="0.25">
      <c r="A378">
        <v>29</v>
      </c>
      <c r="B378" t="s">
        <v>222</v>
      </c>
      <c r="C378">
        <v>130</v>
      </c>
      <c r="D378" t="s">
        <v>225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226</v>
      </c>
      <c r="C379">
        <v>10</v>
      </c>
      <c r="D379" t="s">
        <v>227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226</v>
      </c>
      <c r="C380">
        <v>20</v>
      </c>
      <c r="D380" t="s">
        <v>96</v>
      </c>
      <c r="E380" t="s">
        <v>97</v>
      </c>
      <c r="F380">
        <v>0.58799999999999997</v>
      </c>
      <c r="G380" t="s">
        <v>14</v>
      </c>
    </row>
    <row r="381" spans="1:7" x14ac:dyDescent="0.25">
      <c r="A381">
        <v>30</v>
      </c>
      <c r="B381" t="s">
        <v>226</v>
      </c>
      <c r="C381">
        <v>30</v>
      </c>
      <c r="D381" t="s">
        <v>101</v>
      </c>
      <c r="E381" t="s">
        <v>11</v>
      </c>
      <c r="F381">
        <v>2.1589999999999998</v>
      </c>
      <c r="G381" t="s">
        <v>16</v>
      </c>
    </row>
    <row r="382" spans="1:7" x14ac:dyDescent="0.25">
      <c r="A382">
        <v>30</v>
      </c>
      <c r="B382" t="s">
        <v>226</v>
      </c>
      <c r="C382">
        <v>40</v>
      </c>
      <c r="D382" t="s">
        <v>98</v>
      </c>
      <c r="E382" t="s">
        <v>15</v>
      </c>
      <c r="F382">
        <v>2.1589999999999998</v>
      </c>
      <c r="G382" t="s">
        <v>16</v>
      </c>
    </row>
    <row r="383" spans="1:7" x14ac:dyDescent="0.25">
      <c r="A383">
        <v>30</v>
      </c>
      <c r="B383" t="s">
        <v>226</v>
      </c>
      <c r="C383">
        <v>50</v>
      </c>
      <c r="D383" t="s">
        <v>99</v>
      </c>
      <c r="E383" t="s">
        <v>15</v>
      </c>
      <c r="F383">
        <v>12.598000000000001</v>
      </c>
      <c r="G383" t="s">
        <v>14</v>
      </c>
    </row>
    <row r="384" spans="1:7" x14ac:dyDescent="0.25">
      <c r="A384">
        <v>30</v>
      </c>
      <c r="B384" t="s">
        <v>226</v>
      </c>
      <c r="C384">
        <v>60</v>
      </c>
      <c r="D384" t="s">
        <v>18</v>
      </c>
      <c r="E384" t="s">
        <v>15</v>
      </c>
      <c r="F384">
        <v>77.48</v>
      </c>
      <c r="G384" t="s">
        <v>14</v>
      </c>
    </row>
    <row r="385" spans="1:7" x14ac:dyDescent="0.25">
      <c r="A385">
        <v>30</v>
      </c>
      <c r="B385" t="s">
        <v>226</v>
      </c>
      <c r="C385">
        <v>70</v>
      </c>
      <c r="D385" t="s">
        <v>21</v>
      </c>
      <c r="E385" t="s">
        <v>11</v>
      </c>
      <c r="F385">
        <v>1</v>
      </c>
      <c r="G385" t="s">
        <v>14</v>
      </c>
    </row>
    <row r="386" spans="1:7" x14ac:dyDescent="0.25">
      <c r="A386">
        <v>30</v>
      </c>
      <c r="B386" t="s">
        <v>226</v>
      </c>
      <c r="C386">
        <v>80</v>
      </c>
      <c r="D386" t="s">
        <v>108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226</v>
      </c>
      <c r="C387">
        <v>90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226</v>
      </c>
      <c r="C388">
        <v>100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226</v>
      </c>
      <c r="C389">
        <v>110</v>
      </c>
      <c r="D389" t="s">
        <v>109</v>
      </c>
      <c r="E389" t="s">
        <v>13</v>
      </c>
      <c r="F389">
        <v>0.70599999999999996</v>
      </c>
      <c r="G389" t="s">
        <v>14</v>
      </c>
    </row>
    <row r="390" spans="1:7" x14ac:dyDescent="0.25">
      <c r="A390">
        <v>30</v>
      </c>
      <c r="B390" t="s">
        <v>226</v>
      </c>
      <c r="C390">
        <v>120</v>
      </c>
      <c r="D390" t="s">
        <v>228</v>
      </c>
      <c r="E390" t="s">
        <v>11</v>
      </c>
      <c r="F390">
        <v>1</v>
      </c>
      <c r="G390" t="s">
        <v>16</v>
      </c>
    </row>
    <row r="391" spans="1:7" x14ac:dyDescent="0.25">
      <c r="A391">
        <v>30</v>
      </c>
      <c r="B391" t="s">
        <v>226</v>
      </c>
      <c r="C391">
        <v>130</v>
      </c>
      <c r="D391" t="s">
        <v>229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230</v>
      </c>
      <c r="C392">
        <v>10</v>
      </c>
      <c r="D392" t="s">
        <v>231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230</v>
      </c>
      <c r="C393">
        <v>20</v>
      </c>
      <c r="D393" t="s">
        <v>96</v>
      </c>
      <c r="E393" t="s">
        <v>97</v>
      </c>
      <c r="F393">
        <v>0.68899999999999995</v>
      </c>
      <c r="G393" t="s">
        <v>14</v>
      </c>
    </row>
    <row r="394" spans="1:7" x14ac:dyDescent="0.25">
      <c r="A394">
        <v>31</v>
      </c>
      <c r="B394" t="s">
        <v>230</v>
      </c>
      <c r="C394">
        <v>30</v>
      </c>
      <c r="D394" t="s">
        <v>101</v>
      </c>
      <c r="E394" t="s">
        <v>11</v>
      </c>
      <c r="F394">
        <v>2.1589999999999998</v>
      </c>
      <c r="G394" t="s">
        <v>16</v>
      </c>
    </row>
    <row r="395" spans="1:7" x14ac:dyDescent="0.25">
      <c r="A395">
        <v>31</v>
      </c>
      <c r="B395" t="s">
        <v>230</v>
      </c>
      <c r="C395">
        <v>40</v>
      </c>
      <c r="D395" t="s">
        <v>98</v>
      </c>
      <c r="E395" t="s">
        <v>15</v>
      </c>
      <c r="F395">
        <v>2.1589999999999998</v>
      </c>
      <c r="G395" t="s">
        <v>16</v>
      </c>
    </row>
    <row r="396" spans="1:7" x14ac:dyDescent="0.25">
      <c r="A396">
        <v>31</v>
      </c>
      <c r="B396" t="s">
        <v>230</v>
      </c>
      <c r="C396">
        <v>50</v>
      </c>
      <c r="D396" t="s">
        <v>99</v>
      </c>
      <c r="E396" t="s">
        <v>15</v>
      </c>
      <c r="F396">
        <v>13.208</v>
      </c>
      <c r="G396" t="s">
        <v>14</v>
      </c>
    </row>
    <row r="397" spans="1:7" x14ac:dyDescent="0.25">
      <c r="A397">
        <v>31</v>
      </c>
      <c r="B397" t="s">
        <v>230</v>
      </c>
      <c r="C397">
        <v>60</v>
      </c>
      <c r="D397" t="s">
        <v>18</v>
      </c>
      <c r="E397" t="s">
        <v>15</v>
      </c>
      <c r="F397">
        <v>81.228999999999999</v>
      </c>
      <c r="G397" t="s">
        <v>14</v>
      </c>
    </row>
    <row r="398" spans="1:7" x14ac:dyDescent="0.25">
      <c r="A398">
        <v>31</v>
      </c>
      <c r="B398" t="s">
        <v>230</v>
      </c>
      <c r="C398">
        <v>70</v>
      </c>
      <c r="D398" t="s">
        <v>21</v>
      </c>
      <c r="E398" t="s">
        <v>11</v>
      </c>
      <c r="F398">
        <v>1</v>
      </c>
      <c r="G398" t="s">
        <v>14</v>
      </c>
    </row>
    <row r="399" spans="1:7" x14ac:dyDescent="0.25">
      <c r="A399">
        <v>31</v>
      </c>
      <c r="B399" t="s">
        <v>230</v>
      </c>
      <c r="C399">
        <v>80</v>
      </c>
      <c r="D399" t="s">
        <v>108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230</v>
      </c>
      <c r="C400">
        <v>90</v>
      </c>
      <c r="D400" t="s">
        <v>22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230</v>
      </c>
      <c r="C401">
        <v>100</v>
      </c>
      <c r="D401" t="s">
        <v>23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230</v>
      </c>
      <c r="C402">
        <v>110</v>
      </c>
      <c r="D402" t="s">
        <v>109</v>
      </c>
      <c r="E402" t="s">
        <v>13</v>
      </c>
      <c r="F402">
        <v>0.70599999999999996</v>
      </c>
      <c r="G402" t="s">
        <v>14</v>
      </c>
    </row>
    <row r="403" spans="1:7" x14ac:dyDescent="0.25">
      <c r="A403">
        <v>31</v>
      </c>
      <c r="B403" t="s">
        <v>230</v>
      </c>
      <c r="C403">
        <v>120</v>
      </c>
      <c r="D403" t="s">
        <v>232</v>
      </c>
      <c r="E403" t="s">
        <v>11</v>
      </c>
      <c r="F403">
        <v>1</v>
      </c>
      <c r="G403" t="s">
        <v>16</v>
      </c>
    </row>
    <row r="404" spans="1:7" x14ac:dyDescent="0.25">
      <c r="A404">
        <v>31</v>
      </c>
      <c r="B404" t="s">
        <v>230</v>
      </c>
      <c r="C404">
        <v>130</v>
      </c>
      <c r="D404" t="s">
        <v>233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234</v>
      </c>
      <c r="C405">
        <v>10</v>
      </c>
      <c r="D405" t="s">
        <v>235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234</v>
      </c>
      <c r="C406">
        <v>20</v>
      </c>
      <c r="D406" t="s">
        <v>96</v>
      </c>
      <c r="E406" t="s">
        <v>97</v>
      </c>
      <c r="F406">
        <v>0.79</v>
      </c>
      <c r="G406" t="s">
        <v>14</v>
      </c>
    </row>
    <row r="407" spans="1:7" x14ac:dyDescent="0.25">
      <c r="A407">
        <v>32</v>
      </c>
      <c r="B407" t="s">
        <v>234</v>
      </c>
      <c r="C407">
        <v>30</v>
      </c>
      <c r="D407" t="s">
        <v>101</v>
      </c>
      <c r="E407" t="s">
        <v>11</v>
      </c>
      <c r="F407">
        <v>2.1589999999999998</v>
      </c>
      <c r="G407" t="s">
        <v>16</v>
      </c>
    </row>
    <row r="408" spans="1:7" x14ac:dyDescent="0.25">
      <c r="A408">
        <v>32</v>
      </c>
      <c r="B408" t="s">
        <v>234</v>
      </c>
      <c r="C408">
        <v>40</v>
      </c>
      <c r="D408" t="s">
        <v>98</v>
      </c>
      <c r="E408" t="s">
        <v>15</v>
      </c>
      <c r="F408">
        <v>2.1589999999999998</v>
      </c>
      <c r="G408" t="s">
        <v>16</v>
      </c>
    </row>
    <row r="409" spans="1:7" x14ac:dyDescent="0.25">
      <c r="A409">
        <v>32</v>
      </c>
      <c r="B409" t="s">
        <v>234</v>
      </c>
      <c r="C409">
        <v>50</v>
      </c>
      <c r="D409" t="s">
        <v>99</v>
      </c>
      <c r="E409" t="s">
        <v>15</v>
      </c>
      <c r="F409">
        <v>13.818</v>
      </c>
      <c r="G409" t="s">
        <v>14</v>
      </c>
    </row>
    <row r="410" spans="1:7" x14ac:dyDescent="0.25">
      <c r="A410">
        <v>32</v>
      </c>
      <c r="B410" t="s">
        <v>234</v>
      </c>
      <c r="C410">
        <v>60</v>
      </c>
      <c r="D410" t="s">
        <v>18</v>
      </c>
      <c r="E410" t="s">
        <v>15</v>
      </c>
      <c r="F410">
        <v>84.977999999999994</v>
      </c>
      <c r="G410" t="s">
        <v>14</v>
      </c>
    </row>
    <row r="411" spans="1:7" x14ac:dyDescent="0.25">
      <c r="A411">
        <v>32</v>
      </c>
      <c r="B411" t="s">
        <v>234</v>
      </c>
      <c r="C411">
        <v>70</v>
      </c>
      <c r="D411" t="s">
        <v>21</v>
      </c>
      <c r="E411" t="s">
        <v>11</v>
      </c>
      <c r="F411">
        <v>1</v>
      </c>
      <c r="G411" t="s">
        <v>14</v>
      </c>
    </row>
    <row r="412" spans="1:7" x14ac:dyDescent="0.25">
      <c r="A412">
        <v>32</v>
      </c>
      <c r="B412" t="s">
        <v>234</v>
      </c>
      <c r="C412">
        <v>80</v>
      </c>
      <c r="D412" t="s">
        <v>108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234</v>
      </c>
      <c r="C413">
        <v>90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234</v>
      </c>
      <c r="C414">
        <v>100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234</v>
      </c>
      <c r="C415">
        <v>110</v>
      </c>
      <c r="D415" t="s">
        <v>109</v>
      </c>
      <c r="E415" t="s">
        <v>13</v>
      </c>
      <c r="F415">
        <v>0.70599999999999996</v>
      </c>
      <c r="G415" t="s">
        <v>14</v>
      </c>
    </row>
    <row r="416" spans="1:7" x14ac:dyDescent="0.25">
      <c r="A416">
        <v>32</v>
      </c>
      <c r="B416" t="s">
        <v>234</v>
      </c>
      <c r="C416">
        <v>120</v>
      </c>
      <c r="D416" t="s">
        <v>236</v>
      </c>
      <c r="E416" t="s">
        <v>11</v>
      </c>
      <c r="F416">
        <v>1</v>
      </c>
      <c r="G416" t="s">
        <v>16</v>
      </c>
    </row>
    <row r="417" spans="1:7" x14ac:dyDescent="0.25">
      <c r="A417">
        <v>32</v>
      </c>
      <c r="B417" t="s">
        <v>234</v>
      </c>
      <c r="C417">
        <v>130</v>
      </c>
      <c r="D417" t="s">
        <v>237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238</v>
      </c>
      <c r="C418">
        <v>10</v>
      </c>
      <c r="D418" t="s">
        <v>239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238</v>
      </c>
      <c r="C419">
        <v>20</v>
      </c>
      <c r="D419" t="s">
        <v>96</v>
      </c>
      <c r="E419" t="s">
        <v>97</v>
      </c>
      <c r="F419">
        <v>0.99199999999999999</v>
      </c>
      <c r="G419" t="s">
        <v>14</v>
      </c>
    </row>
    <row r="420" spans="1:7" x14ac:dyDescent="0.25">
      <c r="A420">
        <v>33</v>
      </c>
      <c r="B420" t="s">
        <v>238</v>
      </c>
      <c r="C420">
        <v>30</v>
      </c>
      <c r="D420" t="s">
        <v>101</v>
      </c>
      <c r="E420" t="s">
        <v>11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238</v>
      </c>
      <c r="C421">
        <v>40</v>
      </c>
      <c r="D421" t="s">
        <v>98</v>
      </c>
      <c r="E421" t="s">
        <v>15</v>
      </c>
      <c r="F421">
        <v>2.1589999999999998</v>
      </c>
      <c r="G421" t="s">
        <v>16</v>
      </c>
    </row>
    <row r="422" spans="1:7" x14ac:dyDescent="0.25">
      <c r="A422">
        <v>33</v>
      </c>
      <c r="B422" t="s">
        <v>238</v>
      </c>
      <c r="C422">
        <v>50</v>
      </c>
      <c r="D422" t="s">
        <v>99</v>
      </c>
      <c r="E422" t="s">
        <v>15</v>
      </c>
      <c r="F422">
        <v>15.037000000000001</v>
      </c>
      <c r="G422" t="s">
        <v>14</v>
      </c>
    </row>
    <row r="423" spans="1:7" x14ac:dyDescent="0.25">
      <c r="A423">
        <v>33</v>
      </c>
      <c r="B423" t="s">
        <v>238</v>
      </c>
      <c r="C423">
        <v>60</v>
      </c>
      <c r="D423" t="s">
        <v>18</v>
      </c>
      <c r="E423" t="s">
        <v>15</v>
      </c>
      <c r="F423">
        <v>92.475999999999999</v>
      </c>
      <c r="G423" t="s">
        <v>14</v>
      </c>
    </row>
    <row r="424" spans="1:7" x14ac:dyDescent="0.25">
      <c r="A424">
        <v>33</v>
      </c>
      <c r="B424" t="s">
        <v>238</v>
      </c>
      <c r="C424">
        <v>70</v>
      </c>
      <c r="D424" t="s">
        <v>21</v>
      </c>
      <c r="E424" t="s">
        <v>11</v>
      </c>
      <c r="F424">
        <v>1</v>
      </c>
      <c r="G424" t="s">
        <v>14</v>
      </c>
    </row>
    <row r="425" spans="1:7" x14ac:dyDescent="0.25">
      <c r="A425">
        <v>33</v>
      </c>
      <c r="B425" t="s">
        <v>238</v>
      </c>
      <c r="C425">
        <v>80</v>
      </c>
      <c r="D425" t="s">
        <v>108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238</v>
      </c>
      <c r="C426">
        <v>90</v>
      </c>
      <c r="D426" t="s">
        <v>22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238</v>
      </c>
      <c r="C427">
        <v>100</v>
      </c>
      <c r="D427" t="s">
        <v>23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238</v>
      </c>
      <c r="C428">
        <v>110</v>
      </c>
      <c r="D428" t="s">
        <v>109</v>
      </c>
      <c r="E428" t="s">
        <v>13</v>
      </c>
      <c r="F428">
        <v>0.70599999999999996</v>
      </c>
      <c r="G428" t="s">
        <v>14</v>
      </c>
    </row>
    <row r="429" spans="1:7" x14ac:dyDescent="0.25">
      <c r="A429">
        <v>33</v>
      </c>
      <c r="B429" t="s">
        <v>238</v>
      </c>
      <c r="C429">
        <v>120</v>
      </c>
      <c r="D429" t="s">
        <v>240</v>
      </c>
      <c r="E429" t="s">
        <v>11</v>
      </c>
      <c r="F429">
        <v>1</v>
      </c>
      <c r="G429" t="s">
        <v>16</v>
      </c>
    </row>
    <row r="430" spans="1:7" x14ac:dyDescent="0.25">
      <c r="A430">
        <v>33</v>
      </c>
      <c r="B430" t="s">
        <v>238</v>
      </c>
      <c r="C430">
        <v>130</v>
      </c>
      <c r="D430" t="s">
        <v>241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242</v>
      </c>
      <c r="C431">
        <v>10</v>
      </c>
      <c r="D431" t="s">
        <v>243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242</v>
      </c>
      <c r="C432">
        <v>20</v>
      </c>
      <c r="D432" t="s">
        <v>96</v>
      </c>
      <c r="E432" t="s">
        <v>97</v>
      </c>
      <c r="F432">
        <v>1.0920000000000001</v>
      </c>
      <c r="G432" t="s">
        <v>14</v>
      </c>
    </row>
    <row r="433" spans="1:7" x14ac:dyDescent="0.25">
      <c r="A433">
        <v>34</v>
      </c>
      <c r="B433" t="s">
        <v>242</v>
      </c>
      <c r="C433">
        <v>30</v>
      </c>
      <c r="D433" t="s">
        <v>101</v>
      </c>
      <c r="E433" t="s">
        <v>11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242</v>
      </c>
      <c r="C434">
        <v>40</v>
      </c>
      <c r="D434" t="s">
        <v>98</v>
      </c>
      <c r="E434" t="s">
        <v>15</v>
      </c>
      <c r="F434">
        <v>2.1589999999999998</v>
      </c>
      <c r="G434" t="s">
        <v>16</v>
      </c>
    </row>
    <row r="435" spans="1:7" x14ac:dyDescent="0.25">
      <c r="A435">
        <v>34</v>
      </c>
      <c r="B435" t="s">
        <v>242</v>
      </c>
      <c r="C435">
        <v>50</v>
      </c>
      <c r="D435" t="s">
        <v>99</v>
      </c>
      <c r="E435" t="s">
        <v>15</v>
      </c>
      <c r="F435">
        <v>15.646000000000001</v>
      </c>
      <c r="G435" t="s">
        <v>14</v>
      </c>
    </row>
    <row r="436" spans="1:7" x14ac:dyDescent="0.25">
      <c r="A436">
        <v>34</v>
      </c>
      <c r="B436" t="s">
        <v>242</v>
      </c>
      <c r="C436">
        <v>60</v>
      </c>
      <c r="D436" t="s">
        <v>18</v>
      </c>
      <c r="E436" t="s">
        <v>15</v>
      </c>
      <c r="F436">
        <v>96.224999999999994</v>
      </c>
      <c r="G436" t="s">
        <v>14</v>
      </c>
    </row>
    <row r="437" spans="1:7" x14ac:dyDescent="0.25">
      <c r="A437">
        <v>34</v>
      </c>
      <c r="B437" t="s">
        <v>242</v>
      </c>
      <c r="C437">
        <v>70</v>
      </c>
      <c r="D437" t="s">
        <v>21</v>
      </c>
      <c r="E437" t="s">
        <v>11</v>
      </c>
      <c r="F437">
        <v>1</v>
      </c>
      <c r="G437" t="s">
        <v>14</v>
      </c>
    </row>
    <row r="438" spans="1:7" x14ac:dyDescent="0.25">
      <c r="A438">
        <v>34</v>
      </c>
      <c r="B438" t="s">
        <v>242</v>
      </c>
      <c r="C438">
        <v>80</v>
      </c>
      <c r="D438" t="s">
        <v>108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242</v>
      </c>
      <c r="C439">
        <v>90</v>
      </c>
      <c r="D439" t="s">
        <v>22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242</v>
      </c>
      <c r="C440">
        <v>100</v>
      </c>
      <c r="D440" t="s">
        <v>23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242</v>
      </c>
      <c r="C441">
        <v>110</v>
      </c>
      <c r="D441" t="s">
        <v>109</v>
      </c>
      <c r="E441" t="s">
        <v>13</v>
      </c>
      <c r="F441">
        <v>0.70599999999999996</v>
      </c>
      <c r="G441" t="s">
        <v>14</v>
      </c>
    </row>
    <row r="442" spans="1:7" x14ac:dyDescent="0.25">
      <c r="A442">
        <v>34</v>
      </c>
      <c r="B442" t="s">
        <v>242</v>
      </c>
      <c r="C442">
        <v>120</v>
      </c>
      <c r="D442" t="s">
        <v>244</v>
      </c>
      <c r="E442" t="s">
        <v>11</v>
      </c>
      <c r="F442">
        <v>1</v>
      </c>
      <c r="G442" t="s">
        <v>16</v>
      </c>
    </row>
    <row r="443" spans="1:7" x14ac:dyDescent="0.25">
      <c r="A443">
        <v>34</v>
      </c>
      <c r="B443" t="s">
        <v>242</v>
      </c>
      <c r="C443">
        <v>130</v>
      </c>
      <c r="D443" t="s">
        <v>245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246</v>
      </c>
      <c r="C444">
        <v>10</v>
      </c>
      <c r="D444" t="s">
        <v>247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246</v>
      </c>
      <c r="C445">
        <v>20</v>
      </c>
      <c r="D445" t="s">
        <v>96</v>
      </c>
      <c r="E445" t="s">
        <v>97</v>
      </c>
      <c r="F445">
        <v>1.1930000000000001</v>
      </c>
      <c r="G445" t="s">
        <v>14</v>
      </c>
    </row>
    <row r="446" spans="1:7" x14ac:dyDescent="0.25">
      <c r="A446">
        <v>35</v>
      </c>
      <c r="B446" t="s">
        <v>246</v>
      </c>
      <c r="C446">
        <v>30</v>
      </c>
      <c r="D446" t="s">
        <v>101</v>
      </c>
      <c r="E446" t="s">
        <v>11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246</v>
      </c>
      <c r="C447">
        <v>40</v>
      </c>
      <c r="D447" t="s">
        <v>98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35</v>
      </c>
      <c r="B448" t="s">
        <v>246</v>
      </c>
      <c r="C448">
        <v>50</v>
      </c>
      <c r="D448" t="s">
        <v>99</v>
      </c>
      <c r="E448" t="s">
        <v>15</v>
      </c>
      <c r="F448">
        <v>16.256</v>
      </c>
      <c r="G448" t="s">
        <v>14</v>
      </c>
    </row>
    <row r="449" spans="1:7" x14ac:dyDescent="0.25">
      <c r="A449">
        <v>35</v>
      </c>
      <c r="B449" t="s">
        <v>246</v>
      </c>
      <c r="C449">
        <v>60</v>
      </c>
      <c r="D449" t="s">
        <v>18</v>
      </c>
      <c r="E449" t="s">
        <v>15</v>
      </c>
      <c r="F449">
        <v>99.974000000000004</v>
      </c>
      <c r="G449" t="s">
        <v>14</v>
      </c>
    </row>
    <row r="450" spans="1:7" x14ac:dyDescent="0.25">
      <c r="A450">
        <v>35</v>
      </c>
      <c r="B450" t="s">
        <v>246</v>
      </c>
      <c r="C450">
        <v>70</v>
      </c>
      <c r="D450" t="s">
        <v>21</v>
      </c>
      <c r="E450" t="s">
        <v>11</v>
      </c>
      <c r="F450">
        <v>1</v>
      </c>
      <c r="G450" t="s">
        <v>14</v>
      </c>
    </row>
    <row r="451" spans="1:7" x14ac:dyDescent="0.25">
      <c r="A451">
        <v>35</v>
      </c>
      <c r="B451" t="s">
        <v>246</v>
      </c>
      <c r="C451">
        <v>80</v>
      </c>
      <c r="D451" t="s">
        <v>108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246</v>
      </c>
      <c r="C452">
        <v>90</v>
      </c>
      <c r="D452" t="s">
        <v>22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246</v>
      </c>
      <c r="C453">
        <v>100</v>
      </c>
      <c r="D453" t="s">
        <v>23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246</v>
      </c>
      <c r="C454">
        <v>110</v>
      </c>
      <c r="D454" t="s">
        <v>109</v>
      </c>
      <c r="E454" t="s">
        <v>13</v>
      </c>
      <c r="F454">
        <v>0.70599999999999996</v>
      </c>
      <c r="G454" t="s">
        <v>14</v>
      </c>
    </row>
    <row r="455" spans="1:7" x14ac:dyDescent="0.25">
      <c r="A455">
        <v>35</v>
      </c>
      <c r="B455" t="s">
        <v>246</v>
      </c>
      <c r="C455">
        <v>120</v>
      </c>
      <c r="D455" t="s">
        <v>248</v>
      </c>
      <c r="E455" t="s">
        <v>11</v>
      </c>
      <c r="F455">
        <v>1</v>
      </c>
      <c r="G455" t="s">
        <v>16</v>
      </c>
    </row>
    <row r="456" spans="1:7" x14ac:dyDescent="0.25">
      <c r="A456">
        <v>35</v>
      </c>
      <c r="B456" t="s">
        <v>246</v>
      </c>
      <c r="C456">
        <v>130</v>
      </c>
      <c r="D456" t="s">
        <v>249</v>
      </c>
      <c r="E456" t="s">
        <v>11</v>
      </c>
      <c r="F456">
        <v>1</v>
      </c>
      <c r="G45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59"/>
  <sheetViews>
    <sheetView topLeftCell="A2" zoomScale="85" zoomScaleNormal="85" workbookViewId="0">
      <selection activeCell="C26" sqref="C26"/>
    </sheetView>
  </sheetViews>
  <sheetFormatPr defaultRowHeight="15" x14ac:dyDescent="0.25"/>
  <cols>
    <col min="1" max="1" width="7.42578125" bestFit="1" customWidth="1"/>
    <col min="2" max="2" width="9.7109375" customWidth="1"/>
    <col min="3" max="3" width="29.28515625" bestFit="1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26</v>
      </c>
      <c r="B1" s="52" t="s">
        <v>27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28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29</v>
      </c>
      <c r="C2" s="49" t="s">
        <v>30</v>
      </c>
      <c r="D2" s="49" t="s">
        <v>31</v>
      </c>
      <c r="E2" s="49" t="s">
        <v>30</v>
      </c>
      <c r="F2" s="49" t="s">
        <v>31</v>
      </c>
      <c r="G2" s="49" t="s">
        <v>29</v>
      </c>
      <c r="H2" s="49" t="s">
        <v>31</v>
      </c>
      <c r="I2" s="49" t="s">
        <v>31</v>
      </c>
      <c r="J2" s="49" t="s">
        <v>31</v>
      </c>
      <c r="K2" s="49" t="s">
        <v>31</v>
      </c>
      <c r="L2" s="49" t="s">
        <v>29</v>
      </c>
      <c r="M2" s="50" t="s">
        <v>32</v>
      </c>
      <c r="N2" s="17" t="s">
        <v>32</v>
      </c>
      <c r="O2" s="50" t="s">
        <v>32</v>
      </c>
      <c r="P2" s="50" t="s">
        <v>33</v>
      </c>
      <c r="Q2" s="50" t="s">
        <v>32</v>
      </c>
      <c r="R2" s="50" t="s">
        <v>33</v>
      </c>
      <c r="S2" s="50" t="s">
        <v>32</v>
      </c>
      <c r="T2" s="50" t="s">
        <v>32</v>
      </c>
      <c r="U2" s="50" t="s">
        <v>33</v>
      </c>
      <c r="V2" s="50" t="s">
        <v>32</v>
      </c>
      <c r="W2" s="50" t="s">
        <v>32</v>
      </c>
      <c r="X2" s="50" t="s">
        <v>32</v>
      </c>
      <c r="Y2" s="50" t="s">
        <v>33</v>
      </c>
      <c r="Z2" s="50" t="s">
        <v>34</v>
      </c>
      <c r="AA2" s="50" t="s">
        <v>32</v>
      </c>
      <c r="AB2" s="50" t="s">
        <v>32</v>
      </c>
      <c r="AC2" s="50" t="s">
        <v>32</v>
      </c>
      <c r="AD2" s="50" t="s">
        <v>32</v>
      </c>
      <c r="AE2" s="50" t="s">
        <v>32</v>
      </c>
      <c r="AF2" s="50" t="s">
        <v>32</v>
      </c>
      <c r="AG2" s="50" t="s">
        <v>34</v>
      </c>
      <c r="AH2" s="50" t="s">
        <v>34</v>
      </c>
      <c r="AI2" s="50" t="s">
        <v>34</v>
      </c>
      <c r="AJ2" s="50" t="s">
        <v>32</v>
      </c>
      <c r="AK2" s="50" t="s">
        <v>32</v>
      </c>
      <c r="AL2" s="50" t="s">
        <v>32</v>
      </c>
    </row>
    <row r="3" spans="1:38" x14ac:dyDescent="0.25">
      <c r="A3" s="51"/>
      <c r="B3" s="49" t="s">
        <v>35</v>
      </c>
      <c r="C3" s="49" t="s">
        <v>36</v>
      </c>
      <c r="D3" s="49" t="s">
        <v>37</v>
      </c>
      <c r="E3" s="49" t="s">
        <v>36</v>
      </c>
      <c r="F3" s="49" t="s">
        <v>38</v>
      </c>
      <c r="G3" s="49" t="s">
        <v>39</v>
      </c>
      <c r="H3" s="49" t="s">
        <v>40</v>
      </c>
      <c r="I3" s="49" t="s">
        <v>41</v>
      </c>
      <c r="J3" s="49" t="s">
        <v>36</v>
      </c>
      <c r="K3" s="49" t="s">
        <v>36</v>
      </c>
      <c r="L3" s="49" t="s">
        <v>42</v>
      </c>
      <c r="M3" s="50" t="s">
        <v>43</v>
      </c>
      <c r="N3" s="17" t="s">
        <v>36</v>
      </c>
      <c r="O3" s="50" t="s">
        <v>38</v>
      </c>
      <c r="P3" s="50" t="s">
        <v>44</v>
      </c>
      <c r="Q3" s="50" t="s">
        <v>41</v>
      </c>
      <c r="R3" s="50" t="s">
        <v>40</v>
      </c>
      <c r="S3" s="50" t="s">
        <v>45</v>
      </c>
      <c r="T3" s="50" t="s">
        <v>43</v>
      </c>
      <c r="U3" s="50" t="s">
        <v>46</v>
      </c>
      <c r="V3" s="50" t="s">
        <v>40</v>
      </c>
      <c r="W3" s="50" t="s">
        <v>41</v>
      </c>
      <c r="X3" s="50" t="s">
        <v>41</v>
      </c>
      <c r="Y3" s="50" t="s">
        <v>35</v>
      </c>
      <c r="Z3" s="50" t="s">
        <v>42</v>
      </c>
      <c r="AA3" s="50" t="s">
        <v>47</v>
      </c>
      <c r="AB3" s="50" t="s">
        <v>47</v>
      </c>
      <c r="AC3" s="50" t="s">
        <v>41</v>
      </c>
      <c r="AD3" s="50" t="s">
        <v>41</v>
      </c>
      <c r="AE3" s="50" t="s">
        <v>46</v>
      </c>
      <c r="AF3" s="50" t="s">
        <v>45</v>
      </c>
      <c r="AG3" s="50" t="s">
        <v>35</v>
      </c>
      <c r="AH3" s="50" t="s">
        <v>42</v>
      </c>
      <c r="AI3" s="50" t="s">
        <v>42</v>
      </c>
      <c r="AJ3" s="50" t="s">
        <v>36</v>
      </c>
      <c r="AK3" s="50" t="s">
        <v>38</v>
      </c>
      <c r="AL3" s="50" t="s">
        <v>48</v>
      </c>
    </row>
    <row r="4" spans="1:38" x14ac:dyDescent="0.25">
      <c r="A4" s="51"/>
      <c r="B4" s="18" t="s">
        <v>49</v>
      </c>
      <c r="C4" s="18" t="s">
        <v>50</v>
      </c>
      <c r="D4" s="49" t="s">
        <v>51</v>
      </c>
      <c r="E4" s="18" t="s">
        <v>3</v>
      </c>
      <c r="F4" s="49" t="s">
        <v>52</v>
      </c>
      <c r="G4" s="18" t="s">
        <v>53</v>
      </c>
      <c r="H4" s="18" t="s">
        <v>6</v>
      </c>
      <c r="I4" s="18" t="s">
        <v>54</v>
      </c>
      <c r="J4" s="49" t="s">
        <v>55</v>
      </c>
      <c r="K4" s="49" t="s">
        <v>56</v>
      </c>
      <c r="L4" s="49" t="s">
        <v>57</v>
      </c>
      <c r="M4" s="19" t="s">
        <v>58</v>
      </c>
      <c r="N4" s="20" t="s">
        <v>3</v>
      </c>
      <c r="O4" s="50" t="s">
        <v>52</v>
      </c>
      <c r="P4" s="50" t="s">
        <v>59</v>
      </c>
      <c r="Q4" s="50" t="s">
        <v>60</v>
      </c>
      <c r="R4" s="50" t="s">
        <v>4</v>
      </c>
      <c r="S4" s="50" t="s">
        <v>61</v>
      </c>
      <c r="T4" s="50" t="s">
        <v>62</v>
      </c>
      <c r="U4" s="50" t="s">
        <v>63</v>
      </c>
      <c r="V4" s="50" t="s">
        <v>6</v>
      </c>
      <c r="W4" s="50" t="s">
        <v>64</v>
      </c>
      <c r="X4" s="50" t="s">
        <v>65</v>
      </c>
      <c r="Y4" s="50" t="s">
        <v>66</v>
      </c>
      <c r="Z4" s="50" t="s">
        <v>67</v>
      </c>
      <c r="AA4" s="50" t="s">
        <v>68</v>
      </c>
      <c r="AB4" s="50" t="s">
        <v>69</v>
      </c>
      <c r="AC4" s="50" t="s">
        <v>70</v>
      </c>
      <c r="AD4" s="50" t="s">
        <v>71</v>
      </c>
      <c r="AE4" s="50" t="s">
        <v>72</v>
      </c>
      <c r="AF4" s="50" t="s">
        <v>73</v>
      </c>
      <c r="AG4" s="50" t="s">
        <v>74</v>
      </c>
      <c r="AH4" s="50" t="s">
        <v>75</v>
      </c>
      <c r="AI4" s="50" t="s">
        <v>76</v>
      </c>
      <c r="AJ4" s="50" t="s">
        <v>77</v>
      </c>
      <c r="AK4" s="50" t="s">
        <v>78</v>
      </c>
      <c r="AL4" s="50" t="s">
        <v>79</v>
      </c>
    </row>
    <row r="5" spans="1:38" x14ac:dyDescent="0.25">
      <c r="A5" s="3">
        <v>1</v>
      </c>
      <c r="B5" s="3" t="s">
        <v>89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111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96</v>
      </c>
      <c r="O6" s="3"/>
      <c r="P6" s="3"/>
      <c r="Q6" s="3">
        <v>0.41699999999999998</v>
      </c>
      <c r="R6" s="3" t="s">
        <v>97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101</v>
      </c>
      <c r="O7" s="3"/>
      <c r="P7" s="3"/>
      <c r="Q7" s="3">
        <v>0.78700000000000003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98</v>
      </c>
      <c r="O8" s="3"/>
      <c r="P8" s="3"/>
      <c r="Q8" s="3">
        <v>0.78700000000000003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99</v>
      </c>
      <c r="O9" s="3"/>
      <c r="P9" s="3"/>
      <c r="Q9" s="3">
        <v>10.77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66.233000000000004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21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108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109</v>
      </c>
      <c r="O15" s="3"/>
      <c r="P15" s="3"/>
      <c r="Q15" s="3">
        <v>0.3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113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115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96</v>
      </c>
      <c r="O19" s="3"/>
      <c r="P19" s="3"/>
      <c r="Q19" s="3">
        <v>0.503</v>
      </c>
      <c r="R19" s="3" t="s">
        <v>97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101</v>
      </c>
      <c r="O20" s="3"/>
      <c r="P20" s="3"/>
      <c r="Q20" s="3">
        <v>0.94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98</v>
      </c>
      <c r="O21" s="3"/>
      <c r="P21" s="3"/>
      <c r="Q21" s="3">
        <v>0.94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99</v>
      </c>
      <c r="O22" s="3"/>
      <c r="P22" s="3"/>
      <c r="Q22" s="3">
        <v>11.379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18</v>
      </c>
      <c r="O23" s="3"/>
      <c r="P23" s="3"/>
      <c r="Q23" s="3">
        <v>69.981999999999999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108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109</v>
      </c>
      <c r="O28" s="3"/>
      <c r="P28" s="3"/>
      <c r="Q28" s="3">
        <v>0.34499999999999997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117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118</v>
      </c>
      <c r="D31" s="3"/>
      <c r="E31" s="3" t="s">
        <v>118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119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118</v>
      </c>
      <c r="D32" s="3"/>
      <c r="E32" s="3" t="s">
        <v>118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96</v>
      </c>
      <c r="O32" s="3"/>
      <c r="P32" s="3"/>
      <c r="Q32" s="3">
        <v>0.58899999999999997</v>
      </c>
      <c r="R32" s="3" t="s">
        <v>97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118</v>
      </c>
      <c r="D33" s="3"/>
      <c r="E33" s="3" t="s">
        <v>118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101</v>
      </c>
      <c r="O33" s="3"/>
      <c r="P33" s="3"/>
      <c r="Q33" s="3">
        <v>1.0920000000000001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118</v>
      </c>
      <c r="D34" s="3"/>
      <c r="E34" s="3" t="s">
        <v>118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98</v>
      </c>
      <c r="O34" s="3"/>
      <c r="P34" s="3"/>
      <c r="Q34" s="3">
        <v>1.0920000000000001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118</v>
      </c>
      <c r="D35" s="3"/>
      <c r="E35" s="3" t="s">
        <v>118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99</v>
      </c>
      <c r="O35" s="3"/>
      <c r="P35" s="3"/>
      <c r="Q35" s="3">
        <v>11.989000000000001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118</v>
      </c>
      <c r="D36" s="3"/>
      <c r="E36" s="3" t="s">
        <v>118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18</v>
      </c>
      <c r="O36" s="3"/>
      <c r="P36" s="3"/>
      <c r="Q36" s="3">
        <v>73.730999999999995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118</v>
      </c>
      <c r="D37" s="3"/>
      <c r="E37" s="3" t="s">
        <v>118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21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118</v>
      </c>
      <c r="D38" s="3"/>
      <c r="E38" s="3" t="s">
        <v>118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108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118</v>
      </c>
      <c r="D39" s="3"/>
      <c r="E39" s="3" t="s">
        <v>118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118</v>
      </c>
      <c r="D40" s="3"/>
      <c r="E40" s="3" t="s">
        <v>118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118</v>
      </c>
      <c r="D41" s="3"/>
      <c r="E41" s="3" t="s">
        <v>118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109</v>
      </c>
      <c r="O41" s="3"/>
      <c r="P41" s="3"/>
      <c r="Q41" s="3">
        <v>0.39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118</v>
      </c>
      <c r="D42" s="3"/>
      <c r="E42" s="3" t="s">
        <v>118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120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118</v>
      </c>
      <c r="D43" s="3"/>
      <c r="E43" s="3" t="s">
        <v>118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121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122</v>
      </c>
      <c r="D44" s="3"/>
      <c r="E44" s="3" t="s">
        <v>122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123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122</v>
      </c>
      <c r="D45" s="3"/>
      <c r="E45" s="3" t="s">
        <v>122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96</v>
      </c>
      <c r="O45" s="3"/>
      <c r="P45" s="3"/>
      <c r="Q45" s="3">
        <v>0.67600000000000005</v>
      </c>
      <c r="R45" s="3" t="s">
        <v>97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122</v>
      </c>
      <c r="D46" s="3"/>
      <c r="E46" s="3" t="s">
        <v>122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101</v>
      </c>
      <c r="O46" s="3"/>
      <c r="P46" s="3"/>
      <c r="Q46" s="3">
        <v>1.2450000000000001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122</v>
      </c>
      <c r="D47" s="3"/>
      <c r="E47" s="3" t="s">
        <v>122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98</v>
      </c>
      <c r="O47" s="3"/>
      <c r="P47" s="3"/>
      <c r="Q47" s="3">
        <v>1.2450000000000001</v>
      </c>
      <c r="R47" s="3" t="s">
        <v>15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122</v>
      </c>
      <c r="D48" s="3"/>
      <c r="E48" s="3" t="s">
        <v>122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99</v>
      </c>
      <c r="O48" s="3"/>
      <c r="P48" s="3"/>
      <c r="Q48" s="3">
        <v>12.598000000000001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122</v>
      </c>
      <c r="D49" s="3"/>
      <c r="E49" s="3" t="s">
        <v>122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18</v>
      </c>
      <c r="O49" s="3"/>
      <c r="P49" s="3"/>
      <c r="Q49" s="3">
        <v>77.48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122</v>
      </c>
      <c r="D50" s="3"/>
      <c r="E50" s="3" t="s">
        <v>122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21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122</v>
      </c>
      <c r="D51" s="3"/>
      <c r="E51" s="3" t="s">
        <v>122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108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122</v>
      </c>
      <c r="D52" s="3"/>
      <c r="E52" s="3" t="s">
        <v>122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122</v>
      </c>
      <c r="D53" s="3"/>
      <c r="E53" s="3" t="s">
        <v>122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122</v>
      </c>
      <c r="D54" s="3"/>
      <c r="E54" s="3" t="s">
        <v>122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109</v>
      </c>
      <c r="O54" s="3"/>
      <c r="P54" s="3"/>
      <c r="Q54" s="3">
        <v>0.435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122</v>
      </c>
      <c r="D55" s="3"/>
      <c r="E55" s="3" t="s">
        <v>122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124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122</v>
      </c>
      <c r="D56" s="3"/>
      <c r="E56" s="3" t="s">
        <v>122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127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96</v>
      </c>
      <c r="O58" s="3"/>
      <c r="P58" s="3"/>
      <c r="Q58" s="3">
        <v>0.84799999999999998</v>
      </c>
      <c r="R58" s="3" t="s">
        <v>97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101</v>
      </c>
      <c r="O59" s="3"/>
      <c r="P59" s="3"/>
      <c r="Q59" s="3">
        <v>1.5489999999999999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98</v>
      </c>
      <c r="O60" s="3"/>
      <c r="P60" s="3"/>
      <c r="Q60" s="3">
        <v>1.5489999999999999</v>
      </c>
      <c r="R60" s="3" t="s">
        <v>15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99</v>
      </c>
      <c r="O61" s="3"/>
      <c r="P61" s="3"/>
      <c r="Q61" s="3">
        <v>13.818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18</v>
      </c>
      <c r="O62" s="3"/>
      <c r="P62" s="3"/>
      <c r="Q62" s="3">
        <v>84.977999999999994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21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108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109</v>
      </c>
      <c r="O67" s="3"/>
      <c r="P67" s="3"/>
      <c r="Q67" s="3">
        <v>0.52500000000000002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128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126</v>
      </c>
      <c r="D69" s="3"/>
      <c r="E69" s="3" t="s">
        <v>126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129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130</v>
      </c>
      <c r="D70" s="3"/>
      <c r="E70" s="3" t="s">
        <v>130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131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130</v>
      </c>
      <c r="D71" s="3"/>
      <c r="E71" s="3" t="s">
        <v>130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96</v>
      </c>
      <c r="O71" s="3"/>
      <c r="P71" s="3"/>
      <c r="Q71" s="3">
        <v>0.93500000000000005</v>
      </c>
      <c r="R71" s="3" t="s">
        <v>97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130</v>
      </c>
      <c r="D72" s="3"/>
      <c r="E72" s="3" t="s">
        <v>130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101</v>
      </c>
      <c r="O72" s="3"/>
      <c r="P72" s="3"/>
      <c r="Q72" s="3">
        <v>1.702</v>
      </c>
      <c r="R72" s="3" t="s">
        <v>11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130</v>
      </c>
      <c r="D73" s="3"/>
      <c r="E73" s="3" t="s">
        <v>130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98</v>
      </c>
      <c r="O73" s="3"/>
      <c r="P73" s="3"/>
      <c r="Q73" s="3">
        <v>1.702</v>
      </c>
      <c r="R73" s="3" t="s">
        <v>15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130</v>
      </c>
      <c r="D74" s="3"/>
      <c r="E74" s="3" t="s">
        <v>130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99</v>
      </c>
      <c r="O74" s="3"/>
      <c r="P74" s="3"/>
      <c r="Q74" s="3">
        <v>14.427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130</v>
      </c>
      <c r="D75" s="3"/>
      <c r="E75" s="3" t="s">
        <v>130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18</v>
      </c>
      <c r="O75" s="3"/>
      <c r="P75" s="3"/>
      <c r="Q75" s="3">
        <v>88.727000000000004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130</v>
      </c>
      <c r="D76" s="3"/>
      <c r="E76" s="3" t="s">
        <v>130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21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130</v>
      </c>
      <c r="D77" s="3"/>
      <c r="E77" s="3" t="s">
        <v>130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108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130</v>
      </c>
      <c r="D78" s="3"/>
      <c r="E78" s="3" t="s">
        <v>130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130</v>
      </c>
      <c r="D79" s="3"/>
      <c r="E79" s="3" t="s">
        <v>130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130</v>
      </c>
      <c r="D80" s="3"/>
      <c r="E80" s="3" t="s">
        <v>130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109</v>
      </c>
      <c r="O80" s="3"/>
      <c r="P80" s="3"/>
      <c r="Q80" s="3">
        <v>0.56999999999999995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130</v>
      </c>
      <c r="D81" s="3"/>
      <c r="E81" s="3" t="s">
        <v>130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132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130</v>
      </c>
      <c r="D82" s="3"/>
      <c r="E82" s="3" t="s">
        <v>130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133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134</v>
      </c>
      <c r="D83" s="3"/>
      <c r="E83" s="3" t="s">
        <v>134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135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134</v>
      </c>
      <c r="D84" s="3"/>
      <c r="E84" s="3" t="s">
        <v>134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96</v>
      </c>
      <c r="O84" s="3"/>
      <c r="P84" s="3"/>
      <c r="Q84" s="3">
        <v>1.0209999999999999</v>
      </c>
      <c r="R84" s="3" t="s">
        <v>97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134</v>
      </c>
      <c r="D85" s="3"/>
      <c r="E85" s="3" t="s">
        <v>134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101</v>
      </c>
      <c r="O85" s="3"/>
      <c r="P85" s="3"/>
      <c r="Q85" s="3">
        <v>1.8540000000000001</v>
      </c>
      <c r="R85" s="3" t="s">
        <v>11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134</v>
      </c>
      <c r="D86" s="3"/>
      <c r="E86" s="3" t="s">
        <v>134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98</v>
      </c>
      <c r="O86" s="3"/>
      <c r="P86" s="3"/>
      <c r="Q86" s="3">
        <v>1.8540000000000001</v>
      </c>
      <c r="R86" s="3" t="s">
        <v>15</v>
      </c>
      <c r="S86" s="3"/>
      <c r="T86" s="3">
        <v>10</v>
      </c>
      <c r="U86" s="3"/>
      <c r="V86" s="3" t="s">
        <v>16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134</v>
      </c>
      <c r="D87" s="3"/>
      <c r="E87" s="3" t="s">
        <v>134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99</v>
      </c>
      <c r="O87" s="3"/>
      <c r="P87" s="3"/>
      <c r="Q87" s="3">
        <v>15.037000000000001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134</v>
      </c>
      <c r="D88" s="3"/>
      <c r="E88" s="3" t="s">
        <v>134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18</v>
      </c>
      <c r="O88" s="3"/>
      <c r="P88" s="3"/>
      <c r="Q88" s="3">
        <v>92.475999999999999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134</v>
      </c>
      <c r="D89" s="3"/>
      <c r="E89" s="3" t="s">
        <v>134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21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134</v>
      </c>
      <c r="D90" s="3"/>
      <c r="E90" s="3" t="s">
        <v>134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108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134</v>
      </c>
      <c r="D91" s="3"/>
      <c r="E91" s="3" t="s">
        <v>134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134</v>
      </c>
      <c r="D92" s="3"/>
      <c r="E92" s="3" t="s">
        <v>134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134</v>
      </c>
      <c r="D93" s="3"/>
      <c r="E93" s="3" t="s">
        <v>134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109</v>
      </c>
      <c r="O93" s="3"/>
      <c r="P93" s="3"/>
      <c r="Q93" s="3">
        <v>0.61599999999999999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134</v>
      </c>
      <c r="D94" s="3"/>
      <c r="E94" s="3" t="s">
        <v>134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136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134</v>
      </c>
      <c r="D95" s="3"/>
      <c r="E95" s="3" t="s">
        <v>134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137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139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96</v>
      </c>
      <c r="O97" s="3"/>
      <c r="P97" s="3"/>
      <c r="Q97" s="3">
        <v>0.435</v>
      </c>
      <c r="R97" s="3" t="s">
        <v>97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101</v>
      </c>
      <c r="O98" s="3"/>
      <c r="P98" s="3"/>
      <c r="Q98" s="3">
        <v>0.78700000000000003</v>
      </c>
      <c r="R98" s="3" t="s">
        <v>11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98</v>
      </c>
      <c r="O99" s="3"/>
      <c r="P99" s="3"/>
      <c r="Q99" s="3">
        <v>0.78700000000000003</v>
      </c>
      <c r="R99" s="3" t="s">
        <v>15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99</v>
      </c>
      <c r="O100" s="3"/>
      <c r="P100" s="3"/>
      <c r="Q100" s="3">
        <v>11.074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18</v>
      </c>
      <c r="O101" s="3"/>
      <c r="P101" s="3"/>
      <c r="Q101" s="3">
        <v>68.108000000000004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21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138</v>
      </c>
      <c r="D103" s="3"/>
      <c r="E103" s="3" t="s">
        <v>138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108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138</v>
      </c>
      <c r="D104" s="3"/>
      <c r="E104" s="3" t="s">
        <v>138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138</v>
      </c>
      <c r="D105" s="3"/>
      <c r="E105" s="3" t="s">
        <v>138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138</v>
      </c>
      <c r="D106" s="3"/>
      <c r="E106" s="3" t="s">
        <v>138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109</v>
      </c>
      <c r="O106" s="3"/>
      <c r="P106" s="3"/>
      <c r="Q106" s="3">
        <v>0.3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138</v>
      </c>
      <c r="D107" s="3"/>
      <c r="E107" s="3" t="s">
        <v>138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140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138</v>
      </c>
      <c r="D108" s="3"/>
      <c r="E108" s="3" t="s">
        <v>138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141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143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96</v>
      </c>
      <c r="O110" s="3"/>
      <c r="P110" s="3"/>
      <c r="Q110" s="3">
        <v>0.52400000000000002</v>
      </c>
      <c r="R110" s="3" t="s">
        <v>97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101</v>
      </c>
      <c r="O111" s="3"/>
      <c r="P111" s="3"/>
      <c r="Q111" s="3">
        <v>0.94</v>
      </c>
      <c r="R111" s="3" t="s">
        <v>11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98</v>
      </c>
      <c r="O112" s="3"/>
      <c r="P112" s="3"/>
      <c r="Q112" s="3">
        <v>0.94</v>
      </c>
      <c r="R112" s="3" t="s">
        <v>15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99</v>
      </c>
      <c r="O113" s="3"/>
      <c r="P113" s="3"/>
      <c r="Q113" s="3">
        <v>11.683999999999999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18</v>
      </c>
      <c r="O114" s="3"/>
      <c r="P114" s="3"/>
      <c r="Q114" s="3">
        <v>71.856999999999999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21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108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142</v>
      </c>
      <c r="D117" s="3"/>
      <c r="E117" s="3" t="s">
        <v>142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142</v>
      </c>
      <c r="D118" s="3"/>
      <c r="E118" s="3" t="s">
        <v>142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142</v>
      </c>
      <c r="D119" s="3"/>
      <c r="E119" s="3" t="s">
        <v>142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109</v>
      </c>
      <c r="O119" s="3"/>
      <c r="P119" s="3"/>
      <c r="Q119" s="3">
        <v>0.34499999999999997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142</v>
      </c>
      <c r="D120" s="3"/>
      <c r="E120" s="3" t="s">
        <v>142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144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142</v>
      </c>
      <c r="D121" s="3"/>
      <c r="E121" s="3" t="s">
        <v>142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145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146</v>
      </c>
      <c r="D122" s="3"/>
      <c r="E122" s="3" t="s">
        <v>146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147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146</v>
      </c>
      <c r="D123" s="3"/>
      <c r="E123" s="3" t="s">
        <v>146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96</v>
      </c>
      <c r="O123" s="3"/>
      <c r="P123" s="3"/>
      <c r="Q123" s="3">
        <v>0.61399999999999999</v>
      </c>
      <c r="R123" s="3" t="s">
        <v>97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146</v>
      </c>
      <c r="D124" s="3"/>
      <c r="E124" s="3" t="s">
        <v>146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101</v>
      </c>
      <c r="O124" s="3"/>
      <c r="P124" s="3"/>
      <c r="Q124" s="3">
        <v>1.0920000000000001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146</v>
      </c>
      <c r="D125" s="3"/>
      <c r="E125" s="3" t="s">
        <v>146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98</v>
      </c>
      <c r="O125" s="3"/>
      <c r="P125" s="3"/>
      <c r="Q125" s="3">
        <v>1.0920000000000001</v>
      </c>
      <c r="R125" s="3" t="s">
        <v>15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146</v>
      </c>
      <c r="D126" s="3"/>
      <c r="E126" s="3" t="s">
        <v>146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99</v>
      </c>
      <c r="O126" s="3"/>
      <c r="P126" s="3"/>
      <c r="Q126" s="3">
        <v>12.294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146</v>
      </c>
      <c r="D127" s="3"/>
      <c r="E127" s="3" t="s">
        <v>146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18</v>
      </c>
      <c r="O127" s="3"/>
      <c r="P127" s="3"/>
      <c r="Q127" s="3">
        <v>75.605999999999995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146</v>
      </c>
      <c r="D128" s="3"/>
      <c r="E128" s="3" t="s">
        <v>146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146</v>
      </c>
      <c r="D129" s="3"/>
      <c r="E129" s="3" t="s">
        <v>146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108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146</v>
      </c>
      <c r="D130" s="3"/>
      <c r="E130" s="3" t="s">
        <v>146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146</v>
      </c>
      <c r="D131" s="3"/>
      <c r="E131" s="3" t="s">
        <v>146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146</v>
      </c>
      <c r="D132" s="3"/>
      <c r="E132" s="3" t="s">
        <v>146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109</v>
      </c>
      <c r="O132" s="3"/>
      <c r="P132" s="3"/>
      <c r="Q132" s="3">
        <v>0.39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146</v>
      </c>
      <c r="D133" s="3"/>
      <c r="E133" s="3" t="s">
        <v>146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148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146</v>
      </c>
      <c r="D134" s="3"/>
      <c r="E134" s="3" t="s">
        <v>146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149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150</v>
      </c>
      <c r="D135" s="3"/>
      <c r="E135" s="3" t="s">
        <v>150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151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150</v>
      </c>
      <c r="D136" s="3"/>
      <c r="E136" s="3" t="s">
        <v>150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96</v>
      </c>
      <c r="O136" s="3"/>
      <c r="P136" s="3"/>
      <c r="Q136" s="3">
        <v>0.70399999999999996</v>
      </c>
      <c r="R136" s="3" t="s">
        <v>97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150</v>
      </c>
      <c r="D137" s="3"/>
      <c r="E137" s="3" t="s">
        <v>150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101</v>
      </c>
      <c r="O137" s="3"/>
      <c r="P137" s="3"/>
      <c r="Q137" s="3">
        <v>1.2450000000000001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150</v>
      </c>
      <c r="D138" s="3"/>
      <c r="E138" s="3" t="s">
        <v>150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98</v>
      </c>
      <c r="O138" s="3"/>
      <c r="P138" s="3"/>
      <c r="Q138" s="3">
        <v>1.2450000000000001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150</v>
      </c>
      <c r="D139" s="3"/>
      <c r="E139" s="3" t="s">
        <v>150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99</v>
      </c>
      <c r="O139" s="3"/>
      <c r="P139" s="3"/>
      <c r="Q139" s="3">
        <v>12.903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150</v>
      </c>
      <c r="D140" s="3"/>
      <c r="E140" s="3" t="s">
        <v>150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18</v>
      </c>
      <c r="O140" s="3"/>
      <c r="P140" s="3"/>
      <c r="Q140" s="3">
        <v>79.355000000000004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150</v>
      </c>
      <c r="D141" s="3"/>
      <c r="E141" s="3" t="s">
        <v>150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21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150</v>
      </c>
      <c r="D142" s="3"/>
      <c r="E142" s="3" t="s">
        <v>150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108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150</v>
      </c>
      <c r="D143" s="3"/>
      <c r="E143" s="3" t="s">
        <v>150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150</v>
      </c>
      <c r="D144" s="3"/>
      <c r="E144" s="3" t="s">
        <v>150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109</v>
      </c>
      <c r="O145" s="3"/>
      <c r="P145" s="3"/>
      <c r="Q145" s="3">
        <v>0.435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152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153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154</v>
      </c>
      <c r="D148" s="3"/>
      <c r="E148" s="3" t="s">
        <v>154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155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154</v>
      </c>
      <c r="D149" s="3"/>
      <c r="E149" s="3" t="s">
        <v>154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96</v>
      </c>
      <c r="O149" s="3"/>
      <c r="P149" s="3"/>
      <c r="Q149" s="3">
        <v>0.88400000000000001</v>
      </c>
      <c r="R149" s="3" t="s">
        <v>97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154</v>
      </c>
      <c r="D150" s="3"/>
      <c r="E150" s="3" t="s">
        <v>154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101</v>
      </c>
      <c r="O150" s="3"/>
      <c r="P150" s="3"/>
      <c r="Q150" s="3">
        <v>1.5489999999999999</v>
      </c>
      <c r="R150" s="3" t="s">
        <v>11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154</v>
      </c>
      <c r="D151" s="3"/>
      <c r="E151" s="3" t="s">
        <v>154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98</v>
      </c>
      <c r="O151" s="3"/>
      <c r="P151" s="3"/>
      <c r="Q151" s="3">
        <v>1.5489999999999999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154</v>
      </c>
      <c r="D152" s="3"/>
      <c r="E152" s="3" t="s">
        <v>154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99</v>
      </c>
      <c r="O152" s="3"/>
      <c r="P152" s="3"/>
      <c r="Q152" s="3">
        <v>14.122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154</v>
      </c>
      <c r="D153" s="3"/>
      <c r="E153" s="3" t="s">
        <v>154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18</v>
      </c>
      <c r="O153" s="3"/>
      <c r="P153" s="3"/>
      <c r="Q153" s="3">
        <v>86.852999999999994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154</v>
      </c>
      <c r="D154" s="3"/>
      <c r="E154" s="3" t="s">
        <v>154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21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154</v>
      </c>
      <c r="D155" s="3"/>
      <c r="E155" s="3" t="s">
        <v>154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108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154</v>
      </c>
      <c r="D156" s="3"/>
      <c r="E156" s="3" t="s">
        <v>154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154</v>
      </c>
      <c r="D157" s="3"/>
      <c r="E157" s="3" t="s">
        <v>154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154</v>
      </c>
      <c r="D158" s="3"/>
      <c r="E158" s="3" t="s">
        <v>154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109</v>
      </c>
      <c r="O158" s="3"/>
      <c r="P158" s="3"/>
      <c r="Q158" s="3">
        <v>0.52500000000000002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156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157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158</v>
      </c>
      <c r="D161" s="3"/>
      <c r="E161" s="3" t="s">
        <v>158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159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158</v>
      </c>
      <c r="D162" s="3"/>
      <c r="E162" s="3" t="s">
        <v>158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96</v>
      </c>
      <c r="O162" s="3"/>
      <c r="P162" s="3"/>
      <c r="Q162" s="3">
        <v>0.97399999999999998</v>
      </c>
      <c r="R162" s="3" t="s">
        <v>97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158</v>
      </c>
      <c r="D163" s="3"/>
      <c r="E163" s="3" t="s">
        <v>158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101</v>
      </c>
      <c r="O163" s="3"/>
      <c r="P163" s="3"/>
      <c r="Q163" s="3">
        <v>1.702</v>
      </c>
      <c r="R163" s="3" t="s">
        <v>11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158</v>
      </c>
      <c r="D164" s="3"/>
      <c r="E164" s="3" t="s">
        <v>158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98</v>
      </c>
      <c r="O164" s="3"/>
      <c r="P164" s="3"/>
      <c r="Q164" s="3">
        <v>1.702</v>
      </c>
      <c r="R164" s="3" t="s">
        <v>15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158</v>
      </c>
      <c r="D165" s="3"/>
      <c r="E165" s="3" t="s">
        <v>158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99</v>
      </c>
      <c r="O165" s="3"/>
      <c r="P165" s="3"/>
      <c r="Q165" s="3">
        <v>14.731999999999999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158</v>
      </c>
      <c r="D166" s="3"/>
      <c r="E166" s="3" t="s">
        <v>158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90.602000000000004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158</v>
      </c>
      <c r="D167" s="3"/>
      <c r="E167" s="3" t="s">
        <v>158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158</v>
      </c>
      <c r="D168" s="3"/>
      <c r="E168" s="3" t="s">
        <v>158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108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158</v>
      </c>
      <c r="D169" s="3"/>
      <c r="E169" s="3" t="s">
        <v>158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158</v>
      </c>
      <c r="D170" s="3"/>
      <c r="E170" s="3" t="s">
        <v>158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158</v>
      </c>
      <c r="D171" s="3"/>
      <c r="E171" s="3" t="s">
        <v>158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109</v>
      </c>
      <c r="O171" s="3"/>
      <c r="P171" s="3"/>
      <c r="Q171" s="3">
        <v>0.56999999999999995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158</v>
      </c>
      <c r="D172" s="3"/>
      <c r="E172" s="3" t="s">
        <v>158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160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158</v>
      </c>
      <c r="D173" s="3"/>
      <c r="E173" s="3" t="s">
        <v>158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161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162</v>
      </c>
      <c r="D174" s="3"/>
      <c r="E174" s="3" t="s">
        <v>162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163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162</v>
      </c>
      <c r="D175" s="3"/>
      <c r="E175" s="3" t="s">
        <v>162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96</v>
      </c>
      <c r="O175" s="3"/>
      <c r="P175" s="3"/>
      <c r="Q175" s="3">
        <v>1.0640000000000001</v>
      </c>
      <c r="R175" s="3" t="s">
        <v>97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162</v>
      </c>
      <c r="D176" s="3"/>
      <c r="E176" s="3" t="s">
        <v>162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101</v>
      </c>
      <c r="O176" s="3"/>
      <c r="P176" s="3"/>
      <c r="Q176" s="3">
        <v>1.8540000000000001</v>
      </c>
      <c r="R176" s="3" t="s">
        <v>11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162</v>
      </c>
      <c r="D177" s="3"/>
      <c r="E177" s="3" t="s">
        <v>162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98</v>
      </c>
      <c r="O177" s="3"/>
      <c r="P177" s="3"/>
      <c r="Q177" s="3">
        <v>1.8540000000000001</v>
      </c>
      <c r="R177" s="3" t="s">
        <v>15</v>
      </c>
      <c r="S177" s="3"/>
      <c r="T177" s="3">
        <v>10</v>
      </c>
      <c r="U177" s="3"/>
      <c r="V177" s="3" t="s">
        <v>16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162</v>
      </c>
      <c r="D178" s="3"/>
      <c r="E178" s="3" t="s">
        <v>162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99</v>
      </c>
      <c r="O178" s="3"/>
      <c r="P178" s="3"/>
      <c r="Q178" s="3">
        <v>15.342000000000001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162</v>
      </c>
      <c r="D179" s="3"/>
      <c r="E179" s="3" t="s">
        <v>162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18</v>
      </c>
      <c r="O179" s="3"/>
      <c r="P179" s="3"/>
      <c r="Q179" s="3">
        <v>94.350999999999999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162</v>
      </c>
      <c r="D180" s="3"/>
      <c r="E180" s="3" t="s">
        <v>162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162</v>
      </c>
      <c r="D181" s="3"/>
      <c r="E181" s="3" t="s">
        <v>162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108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162</v>
      </c>
      <c r="D182" s="3"/>
      <c r="E182" s="3" t="s">
        <v>162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162</v>
      </c>
      <c r="D183" s="3"/>
      <c r="E183" s="3" t="s">
        <v>162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162</v>
      </c>
      <c r="D184" s="3"/>
      <c r="E184" s="3" t="s">
        <v>162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109</v>
      </c>
      <c r="O184" s="3"/>
      <c r="P184" s="3"/>
      <c r="Q184" s="3">
        <v>0.61599999999999999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162</v>
      </c>
      <c r="D185" s="3"/>
      <c r="E185" s="3" t="s">
        <v>162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164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162</v>
      </c>
      <c r="D186" s="3"/>
      <c r="E186" s="3" t="s">
        <v>162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165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166</v>
      </c>
      <c r="D187" s="3"/>
      <c r="E187" s="3" t="s">
        <v>166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167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166</v>
      </c>
      <c r="D188" s="3"/>
      <c r="E188" s="3" t="s">
        <v>166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96</v>
      </c>
      <c r="O188" s="3"/>
      <c r="P188" s="3"/>
      <c r="Q188" s="3">
        <v>0.45200000000000001</v>
      </c>
      <c r="R188" s="3" t="s">
        <v>97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166</v>
      </c>
      <c r="D189" s="3"/>
      <c r="E189" s="3" t="s">
        <v>166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101</v>
      </c>
      <c r="O189" s="3"/>
      <c r="P189" s="3"/>
      <c r="Q189" s="3">
        <v>0.78700000000000003</v>
      </c>
      <c r="R189" s="3" t="s">
        <v>11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166</v>
      </c>
      <c r="D190" s="3"/>
      <c r="E190" s="3" t="s">
        <v>166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98</v>
      </c>
      <c r="O190" s="3"/>
      <c r="P190" s="3"/>
      <c r="Q190" s="3">
        <v>0.78700000000000003</v>
      </c>
      <c r="R190" s="3" t="s">
        <v>15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166</v>
      </c>
      <c r="D191" s="3"/>
      <c r="E191" s="3" t="s">
        <v>166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99</v>
      </c>
      <c r="O191" s="3"/>
      <c r="P191" s="3"/>
      <c r="Q191" s="3">
        <v>11.379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166</v>
      </c>
      <c r="D192" s="3"/>
      <c r="E192" s="3" t="s">
        <v>166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18</v>
      </c>
      <c r="O192" s="3"/>
      <c r="P192" s="3"/>
      <c r="Q192" s="3">
        <v>69.981999999999999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166</v>
      </c>
      <c r="D193" s="3"/>
      <c r="E193" s="3" t="s">
        <v>166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21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166</v>
      </c>
      <c r="D194" s="3"/>
      <c r="E194" s="3" t="s">
        <v>166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108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166</v>
      </c>
      <c r="D195" s="3"/>
      <c r="E195" s="3" t="s">
        <v>166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166</v>
      </c>
      <c r="D196" s="3"/>
      <c r="E196" s="3" t="s">
        <v>166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166</v>
      </c>
      <c r="D197" s="3"/>
      <c r="E197" s="3" t="s">
        <v>166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109</v>
      </c>
      <c r="O197" s="3"/>
      <c r="P197" s="3"/>
      <c r="Q197" s="3">
        <v>0.66100000000000003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166</v>
      </c>
      <c r="D198" s="3"/>
      <c r="E198" s="3" t="s">
        <v>166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168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166</v>
      </c>
      <c r="D199" s="3"/>
      <c r="E199" s="3" t="s">
        <v>166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169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170</v>
      </c>
      <c r="D200" s="3"/>
      <c r="E200" s="3" t="s">
        <v>170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171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170</v>
      </c>
      <c r="D201" s="3"/>
      <c r="E201" s="3" t="s">
        <v>170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96</v>
      </c>
      <c r="O201" s="3"/>
      <c r="P201" s="3"/>
      <c r="Q201" s="3">
        <v>0.54600000000000004</v>
      </c>
      <c r="R201" s="3" t="s">
        <v>97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170</v>
      </c>
      <c r="D202" s="3"/>
      <c r="E202" s="3" t="s">
        <v>170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101</v>
      </c>
      <c r="O202" s="3"/>
      <c r="P202" s="3"/>
      <c r="Q202" s="3">
        <v>0.94</v>
      </c>
      <c r="R202" s="3" t="s">
        <v>11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170</v>
      </c>
      <c r="D203" s="3"/>
      <c r="E203" s="3" t="s">
        <v>170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98</v>
      </c>
      <c r="O203" s="3"/>
      <c r="P203" s="3"/>
      <c r="Q203" s="3">
        <v>0.94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170</v>
      </c>
      <c r="D204" s="3"/>
      <c r="E204" s="3" t="s">
        <v>170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99</v>
      </c>
      <c r="O204" s="3"/>
      <c r="P204" s="3"/>
      <c r="Q204" s="3">
        <v>11.989000000000001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170</v>
      </c>
      <c r="D205" s="3"/>
      <c r="E205" s="3" t="s">
        <v>170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73.730999999999995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170</v>
      </c>
      <c r="D206" s="3"/>
      <c r="E206" s="3" t="s">
        <v>170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21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170</v>
      </c>
      <c r="D207" s="3"/>
      <c r="E207" s="3" t="s">
        <v>170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108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170</v>
      </c>
      <c r="D208" s="3"/>
      <c r="E208" s="3" t="s">
        <v>170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170</v>
      </c>
      <c r="D209" s="3"/>
      <c r="E209" s="3" t="s">
        <v>170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170</v>
      </c>
      <c r="D210" s="3"/>
      <c r="E210" s="3" t="s">
        <v>170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109</v>
      </c>
      <c r="O210" s="3"/>
      <c r="P210" s="3"/>
      <c r="Q210" s="3">
        <v>0.66100000000000003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170</v>
      </c>
      <c r="D211" s="3"/>
      <c r="E211" s="3" t="s">
        <v>170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172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170</v>
      </c>
      <c r="D212" s="3"/>
      <c r="E212" s="3" t="s">
        <v>170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173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174</v>
      </c>
      <c r="D213" s="3"/>
      <c r="E213" s="3" t="s">
        <v>174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175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174</v>
      </c>
      <c r="D214" s="3"/>
      <c r="E214" s="3" t="s">
        <v>174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96</v>
      </c>
      <c r="O214" s="3"/>
      <c r="P214" s="3"/>
      <c r="Q214" s="3">
        <v>0.63900000000000001</v>
      </c>
      <c r="R214" s="3" t="s">
        <v>97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174</v>
      </c>
      <c r="D215" s="3"/>
      <c r="E215" s="3" t="s">
        <v>174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101</v>
      </c>
      <c r="O215" s="3"/>
      <c r="P215" s="3"/>
      <c r="Q215" s="3">
        <v>1.0920000000000001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174</v>
      </c>
      <c r="D216" s="3"/>
      <c r="E216" s="3" t="s">
        <v>174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98</v>
      </c>
      <c r="O216" s="3"/>
      <c r="P216" s="3"/>
      <c r="Q216" s="3">
        <v>1.0920000000000001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174</v>
      </c>
      <c r="D217" s="3"/>
      <c r="E217" s="3" t="s">
        <v>174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99</v>
      </c>
      <c r="O217" s="3"/>
      <c r="P217" s="3"/>
      <c r="Q217" s="3">
        <v>12.598000000000001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174</v>
      </c>
      <c r="D218" s="3"/>
      <c r="E218" s="3" t="s">
        <v>174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77.48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174</v>
      </c>
      <c r="D219" s="3"/>
      <c r="E219" s="3" t="s">
        <v>174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21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174</v>
      </c>
      <c r="D220" s="3"/>
      <c r="E220" s="3" t="s">
        <v>174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108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174</v>
      </c>
      <c r="D221" s="3"/>
      <c r="E221" s="3" t="s">
        <v>174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174</v>
      </c>
      <c r="D222" s="3"/>
      <c r="E222" s="3" t="s">
        <v>174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174</v>
      </c>
      <c r="D223" s="3"/>
      <c r="E223" s="3" t="s">
        <v>174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109</v>
      </c>
      <c r="O223" s="3"/>
      <c r="P223" s="3"/>
      <c r="Q223" s="3">
        <v>0.66100000000000003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174</v>
      </c>
      <c r="D224" s="3"/>
      <c r="E224" s="3" t="s">
        <v>174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176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174</v>
      </c>
      <c r="D225" s="3"/>
      <c r="E225" s="3" t="s">
        <v>174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177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178</v>
      </c>
      <c r="D226" s="3"/>
      <c r="E226" s="3" t="s">
        <v>178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179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178</v>
      </c>
      <c r="D227" s="3"/>
      <c r="E227" s="3" t="s">
        <v>178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96</v>
      </c>
      <c r="O227" s="3"/>
      <c r="P227" s="3"/>
      <c r="Q227" s="3">
        <v>0.73299999999999998</v>
      </c>
      <c r="R227" s="3" t="s">
        <v>97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178</v>
      </c>
      <c r="D228" s="3"/>
      <c r="E228" s="3" t="s">
        <v>178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101</v>
      </c>
      <c r="O228" s="3"/>
      <c r="P228" s="3"/>
      <c r="Q228" s="3">
        <v>1.2450000000000001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178</v>
      </c>
      <c r="D229" s="3"/>
      <c r="E229" s="3" t="s">
        <v>178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98</v>
      </c>
      <c r="O229" s="3"/>
      <c r="P229" s="3"/>
      <c r="Q229" s="3">
        <v>1.2450000000000001</v>
      </c>
      <c r="R229" s="3" t="s">
        <v>15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178</v>
      </c>
      <c r="D230" s="3"/>
      <c r="E230" s="3" t="s">
        <v>178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99</v>
      </c>
      <c r="O230" s="3"/>
      <c r="P230" s="3"/>
      <c r="Q230" s="3">
        <v>13.208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178</v>
      </c>
      <c r="D231" s="3"/>
      <c r="E231" s="3" t="s">
        <v>178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18</v>
      </c>
      <c r="O231" s="3"/>
      <c r="P231" s="3"/>
      <c r="Q231" s="3">
        <v>81.228999999999999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178</v>
      </c>
      <c r="D232" s="3"/>
      <c r="E232" s="3" t="s">
        <v>178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21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178</v>
      </c>
      <c r="D233" s="3"/>
      <c r="E233" s="3" t="s">
        <v>178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108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178</v>
      </c>
      <c r="D234" s="3"/>
      <c r="E234" s="3" t="s">
        <v>178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178</v>
      </c>
      <c r="D235" s="3"/>
      <c r="E235" s="3" t="s">
        <v>178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178</v>
      </c>
      <c r="D236" s="3"/>
      <c r="E236" s="3" t="s">
        <v>178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109</v>
      </c>
      <c r="O236" s="3"/>
      <c r="P236" s="3"/>
      <c r="Q236" s="3">
        <v>0.66100000000000003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178</v>
      </c>
      <c r="D237" s="3"/>
      <c r="E237" s="3" t="s">
        <v>178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180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178</v>
      </c>
      <c r="D238" s="3"/>
      <c r="E238" s="3" t="s">
        <v>178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181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182</v>
      </c>
      <c r="D239" s="3"/>
      <c r="E239" s="3" t="s">
        <v>182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183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182</v>
      </c>
      <c r="D240" s="3"/>
      <c r="E240" s="3" t="s">
        <v>182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96</v>
      </c>
      <c r="O240" s="3"/>
      <c r="P240" s="3"/>
      <c r="Q240" s="3">
        <v>0.92</v>
      </c>
      <c r="R240" s="3" t="s">
        <v>97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182</v>
      </c>
      <c r="D241" s="3"/>
      <c r="E241" s="3" t="s">
        <v>182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101</v>
      </c>
      <c r="O241" s="3"/>
      <c r="P241" s="3"/>
      <c r="Q241" s="3">
        <v>1.5489999999999999</v>
      </c>
      <c r="R241" s="3" t="s">
        <v>11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182</v>
      </c>
      <c r="D242" s="3"/>
      <c r="E242" s="3" t="s">
        <v>182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98</v>
      </c>
      <c r="O242" s="3"/>
      <c r="P242" s="3"/>
      <c r="Q242" s="3">
        <v>1.5489999999999999</v>
      </c>
      <c r="R242" s="3" t="s">
        <v>15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182</v>
      </c>
      <c r="D243" s="3"/>
      <c r="E243" s="3" t="s">
        <v>182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99</v>
      </c>
      <c r="O243" s="3"/>
      <c r="P243" s="3"/>
      <c r="Q243" s="3">
        <v>14.427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182</v>
      </c>
      <c r="D244" s="3"/>
      <c r="E244" s="3" t="s">
        <v>182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18</v>
      </c>
      <c r="O244" s="3"/>
      <c r="P244" s="3"/>
      <c r="Q244" s="3">
        <v>88.727000000000004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182</v>
      </c>
      <c r="D245" s="3"/>
      <c r="E245" s="3" t="s">
        <v>182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21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182</v>
      </c>
      <c r="D246" s="3"/>
      <c r="E246" s="3" t="s">
        <v>182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108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182</v>
      </c>
      <c r="D247" s="3"/>
      <c r="E247" s="3" t="s">
        <v>182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182</v>
      </c>
      <c r="D248" s="3"/>
      <c r="E248" s="3" t="s">
        <v>182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182</v>
      </c>
      <c r="D249" s="3"/>
      <c r="E249" s="3" t="s">
        <v>182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109</v>
      </c>
      <c r="O249" s="3"/>
      <c r="P249" s="3"/>
      <c r="Q249" s="3">
        <v>0.66100000000000003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182</v>
      </c>
      <c r="D250" s="3"/>
      <c r="E250" s="3" t="s">
        <v>182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184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182</v>
      </c>
      <c r="D251" s="3"/>
      <c r="E251" s="3" t="s">
        <v>182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185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186</v>
      </c>
      <c r="D252" s="3"/>
      <c r="E252" s="3" t="s">
        <v>186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187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186</v>
      </c>
      <c r="D253" s="3"/>
      <c r="E253" s="3" t="s">
        <v>186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96</v>
      </c>
      <c r="O253" s="3"/>
      <c r="P253" s="3"/>
      <c r="Q253" s="3">
        <v>1.014</v>
      </c>
      <c r="R253" s="3" t="s">
        <v>97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186</v>
      </c>
      <c r="D254" s="3"/>
      <c r="E254" s="3" t="s">
        <v>186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101</v>
      </c>
      <c r="O254" s="3"/>
      <c r="P254" s="3"/>
      <c r="Q254" s="3">
        <v>1.702</v>
      </c>
      <c r="R254" s="3" t="s">
        <v>11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186</v>
      </c>
      <c r="D255" s="3"/>
      <c r="E255" s="3" t="s">
        <v>186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98</v>
      </c>
      <c r="O255" s="3"/>
      <c r="P255" s="3"/>
      <c r="Q255" s="3">
        <v>1.702</v>
      </c>
      <c r="R255" s="3" t="s">
        <v>15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186</v>
      </c>
      <c r="D256" s="3"/>
      <c r="E256" s="3" t="s">
        <v>186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99</v>
      </c>
      <c r="O256" s="3"/>
      <c r="P256" s="3"/>
      <c r="Q256" s="3">
        <v>15.037000000000001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186</v>
      </c>
      <c r="D257" s="3"/>
      <c r="E257" s="3" t="s">
        <v>186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18</v>
      </c>
      <c r="O257" s="3"/>
      <c r="P257" s="3"/>
      <c r="Q257" s="3">
        <v>92.475999999999999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186</v>
      </c>
      <c r="D258" s="3"/>
      <c r="E258" s="3" t="s">
        <v>186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21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186</v>
      </c>
      <c r="D259" s="3"/>
      <c r="E259" s="3" t="s">
        <v>186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108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186</v>
      </c>
      <c r="D260" s="3"/>
      <c r="E260" s="3" t="s">
        <v>186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186</v>
      </c>
      <c r="D261" s="3"/>
      <c r="E261" s="3" t="s">
        <v>186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186</v>
      </c>
      <c r="D262" s="3"/>
      <c r="E262" s="3" t="s">
        <v>186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109</v>
      </c>
      <c r="O262" s="3"/>
      <c r="P262" s="3"/>
      <c r="Q262" s="3">
        <v>0.66100000000000003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186</v>
      </c>
      <c r="D263" s="3"/>
      <c r="E263" s="3" t="s">
        <v>186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188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186</v>
      </c>
      <c r="D264" s="3"/>
      <c r="E264" s="3" t="s">
        <v>186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189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190</v>
      </c>
      <c r="D265" s="3"/>
      <c r="E265" s="3" t="s">
        <v>190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191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190</v>
      </c>
      <c r="D266" s="3"/>
      <c r="E266" s="3" t="s">
        <v>190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96</v>
      </c>
      <c r="O266" s="3"/>
      <c r="P266" s="3"/>
      <c r="Q266" s="3">
        <v>1.107</v>
      </c>
      <c r="R266" s="3" t="s">
        <v>97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190</v>
      </c>
      <c r="D267" s="3"/>
      <c r="E267" s="3" t="s">
        <v>190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101</v>
      </c>
      <c r="O267" s="3"/>
      <c r="P267" s="3"/>
      <c r="Q267" s="3">
        <v>1.8540000000000001</v>
      </c>
      <c r="R267" s="3" t="s">
        <v>11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190</v>
      </c>
      <c r="D268" s="3"/>
      <c r="E268" s="3" t="s">
        <v>190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98</v>
      </c>
      <c r="O268" s="3"/>
      <c r="P268" s="3"/>
      <c r="Q268" s="3">
        <v>1.8540000000000001</v>
      </c>
      <c r="R268" s="3" t="s">
        <v>15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190</v>
      </c>
      <c r="D269" s="3"/>
      <c r="E269" s="3" t="s">
        <v>190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99</v>
      </c>
      <c r="O269" s="3"/>
      <c r="P269" s="3"/>
      <c r="Q269" s="3">
        <v>15.646000000000001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190</v>
      </c>
      <c r="D270" s="3"/>
      <c r="E270" s="3" t="s">
        <v>190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18</v>
      </c>
      <c r="O270" s="3"/>
      <c r="P270" s="3"/>
      <c r="Q270" s="3">
        <v>96.224999999999994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190</v>
      </c>
      <c r="D271" s="3"/>
      <c r="E271" s="3" t="s">
        <v>190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21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190</v>
      </c>
      <c r="D272" s="3"/>
      <c r="E272" s="3" t="s">
        <v>190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108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190</v>
      </c>
      <c r="D273" s="3"/>
      <c r="E273" s="3" t="s">
        <v>190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190</v>
      </c>
      <c r="D274" s="3"/>
      <c r="E274" s="3" t="s">
        <v>190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190</v>
      </c>
      <c r="D275" s="3"/>
      <c r="E275" s="3" t="s">
        <v>190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109</v>
      </c>
      <c r="O275" s="3"/>
      <c r="P275" s="3"/>
      <c r="Q275" s="3">
        <v>0.66100000000000003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190</v>
      </c>
      <c r="D276" s="3"/>
      <c r="E276" s="3" t="s">
        <v>190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192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190</v>
      </c>
      <c r="D277" s="3"/>
      <c r="E277" s="3" t="s">
        <v>190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193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194</v>
      </c>
      <c r="D278" s="3"/>
      <c r="E278" s="3" t="s">
        <v>194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195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194</v>
      </c>
      <c r="D279" s="3"/>
      <c r="E279" s="3" t="s">
        <v>194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96</v>
      </c>
      <c r="O279" s="3"/>
      <c r="P279" s="3"/>
      <c r="Q279" s="3">
        <v>0.46400000000000002</v>
      </c>
      <c r="R279" s="3" t="s">
        <v>97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194</v>
      </c>
      <c r="D280" s="3"/>
      <c r="E280" s="3" t="s">
        <v>194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101</v>
      </c>
      <c r="O280" s="3"/>
      <c r="P280" s="3"/>
      <c r="Q280" s="3">
        <v>2.0569999999999999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194</v>
      </c>
      <c r="D281" s="3"/>
      <c r="E281" s="3" t="s">
        <v>194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98</v>
      </c>
      <c r="O281" s="3"/>
      <c r="P281" s="3"/>
      <c r="Q281" s="3">
        <v>2.0569999999999999</v>
      </c>
      <c r="R281" s="3" t="s">
        <v>15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194</v>
      </c>
      <c r="D282" s="3"/>
      <c r="E282" s="3" t="s">
        <v>194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99</v>
      </c>
      <c r="O282" s="3"/>
      <c r="P282" s="3"/>
      <c r="Q282" s="3">
        <v>11.582000000000001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194</v>
      </c>
      <c r="D283" s="3"/>
      <c r="E283" s="3" t="s">
        <v>194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18</v>
      </c>
      <c r="O283" s="3"/>
      <c r="P283" s="3"/>
      <c r="Q283" s="3">
        <v>71.231999999999999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194</v>
      </c>
      <c r="D284" s="3"/>
      <c r="E284" s="3" t="s">
        <v>194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21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194</v>
      </c>
      <c r="D285" s="3"/>
      <c r="E285" s="3" t="s">
        <v>194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108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194</v>
      </c>
      <c r="D286" s="3"/>
      <c r="E286" s="3" t="s">
        <v>194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194</v>
      </c>
      <c r="D287" s="3"/>
      <c r="E287" s="3" t="s">
        <v>194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194</v>
      </c>
      <c r="D288" s="3"/>
      <c r="E288" s="3" t="s">
        <v>194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109</v>
      </c>
      <c r="O288" s="3"/>
      <c r="P288" s="3"/>
      <c r="Q288" s="3">
        <v>0.67600000000000005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194</v>
      </c>
      <c r="D289" s="3"/>
      <c r="E289" s="3" t="s">
        <v>194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196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194</v>
      </c>
      <c r="D290" s="3"/>
      <c r="E290" s="3" t="s">
        <v>194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197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198</v>
      </c>
      <c r="D291" s="3"/>
      <c r="E291" s="3" t="s">
        <v>198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199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198</v>
      </c>
      <c r="D292" s="3"/>
      <c r="E292" s="3" t="s">
        <v>198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96</v>
      </c>
      <c r="O292" s="3"/>
      <c r="P292" s="3"/>
      <c r="Q292" s="3">
        <v>0.56000000000000005</v>
      </c>
      <c r="R292" s="3" t="s">
        <v>97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198</v>
      </c>
      <c r="D293" s="3"/>
      <c r="E293" s="3" t="s">
        <v>198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101</v>
      </c>
      <c r="O293" s="3"/>
      <c r="P293" s="3"/>
      <c r="Q293" s="3">
        <v>2.0569999999999999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198</v>
      </c>
      <c r="D294" s="3"/>
      <c r="E294" s="3" t="s">
        <v>198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98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198</v>
      </c>
      <c r="D295" s="3"/>
      <c r="E295" s="3" t="s">
        <v>198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99</v>
      </c>
      <c r="O295" s="3"/>
      <c r="P295" s="3"/>
      <c r="Q295" s="3">
        <v>12.192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198</v>
      </c>
      <c r="D296" s="3"/>
      <c r="E296" s="3" t="s">
        <v>198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18</v>
      </c>
      <c r="O296" s="3"/>
      <c r="P296" s="3"/>
      <c r="Q296" s="3">
        <v>74.980999999999995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198</v>
      </c>
      <c r="D297" s="3"/>
      <c r="E297" s="3" t="s">
        <v>198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21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198</v>
      </c>
      <c r="D298" s="3"/>
      <c r="E298" s="3" t="s">
        <v>198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108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198</v>
      </c>
      <c r="D299" s="3"/>
      <c r="E299" s="3" t="s">
        <v>198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198</v>
      </c>
      <c r="D300" s="3"/>
      <c r="E300" s="3" t="s">
        <v>198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23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198</v>
      </c>
      <c r="D301" s="3"/>
      <c r="E301" s="3" t="s">
        <v>198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109</v>
      </c>
      <c r="O301" s="3"/>
      <c r="P301" s="3"/>
      <c r="Q301" s="3">
        <v>0.67600000000000005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198</v>
      </c>
      <c r="D302" s="3"/>
      <c r="E302" s="3" t="s">
        <v>198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200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198</v>
      </c>
      <c r="D303" s="3"/>
      <c r="E303" s="3" t="s">
        <v>198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201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202</v>
      </c>
      <c r="D304" s="3"/>
      <c r="E304" s="3" t="s">
        <v>202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203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202</v>
      </c>
      <c r="D305" s="3"/>
      <c r="E305" s="3" t="s">
        <v>202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96</v>
      </c>
      <c r="O305" s="3"/>
      <c r="P305" s="3"/>
      <c r="Q305" s="3">
        <v>0.65600000000000003</v>
      </c>
      <c r="R305" s="3" t="s">
        <v>97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202</v>
      </c>
      <c r="D306" s="3"/>
      <c r="E306" s="3" t="s">
        <v>202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101</v>
      </c>
      <c r="O306" s="3"/>
      <c r="P306" s="3"/>
      <c r="Q306" s="3">
        <v>2.0569999999999999</v>
      </c>
      <c r="R306" s="3" t="s">
        <v>11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202</v>
      </c>
      <c r="D307" s="3"/>
      <c r="E307" s="3" t="s">
        <v>202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98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202</v>
      </c>
      <c r="D308" s="3"/>
      <c r="E308" s="3" t="s">
        <v>202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99</v>
      </c>
      <c r="O308" s="3"/>
      <c r="P308" s="3"/>
      <c r="Q308" s="3">
        <v>12.802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202</v>
      </c>
      <c r="D309" s="3"/>
      <c r="E309" s="3" t="s">
        <v>202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18</v>
      </c>
      <c r="O309" s="3"/>
      <c r="P309" s="3"/>
      <c r="Q309" s="3">
        <v>78.73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202</v>
      </c>
      <c r="D310" s="3"/>
      <c r="E310" s="3" t="s">
        <v>202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202</v>
      </c>
      <c r="D311" s="3"/>
      <c r="E311" s="3" t="s">
        <v>202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108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202</v>
      </c>
      <c r="D312" s="3"/>
      <c r="E312" s="3" t="s">
        <v>202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202</v>
      </c>
      <c r="D313" s="3"/>
      <c r="E313" s="3" t="s">
        <v>202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202</v>
      </c>
      <c r="D314" s="3"/>
      <c r="E314" s="3" t="s">
        <v>202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109</v>
      </c>
      <c r="O314" s="3"/>
      <c r="P314" s="3"/>
      <c r="Q314" s="3">
        <v>0.67600000000000005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202</v>
      </c>
      <c r="D315" s="3"/>
      <c r="E315" s="3" t="s">
        <v>202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204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202</v>
      </c>
      <c r="D316" s="3"/>
      <c r="E316" s="3" t="s">
        <v>202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205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206</v>
      </c>
      <c r="D317" s="3"/>
      <c r="E317" s="3" t="s">
        <v>206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207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206</v>
      </c>
      <c r="D318" s="3"/>
      <c r="E318" s="3" t="s">
        <v>206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96</v>
      </c>
      <c r="O318" s="3"/>
      <c r="P318" s="3"/>
      <c r="Q318" s="3">
        <v>0.752</v>
      </c>
      <c r="R318" s="3" t="s">
        <v>97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206</v>
      </c>
      <c r="D319" s="3"/>
      <c r="E319" s="3" t="s">
        <v>206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101</v>
      </c>
      <c r="O319" s="3"/>
      <c r="P319" s="3"/>
      <c r="Q319" s="3">
        <v>2.0569999999999999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206</v>
      </c>
      <c r="D320" s="3"/>
      <c r="E320" s="3" t="s">
        <v>206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98</v>
      </c>
      <c r="O320" s="3"/>
      <c r="P320" s="3"/>
      <c r="Q320" s="3">
        <v>2.0569999999999999</v>
      </c>
      <c r="R320" s="3" t="s">
        <v>15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206</v>
      </c>
      <c r="D321" s="3"/>
      <c r="E321" s="3" t="s">
        <v>206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99</v>
      </c>
      <c r="O321" s="3"/>
      <c r="P321" s="3"/>
      <c r="Q321" s="3">
        <v>13.411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206</v>
      </c>
      <c r="D322" s="3"/>
      <c r="E322" s="3" t="s">
        <v>206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82.478999999999999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206</v>
      </c>
      <c r="D323" s="3"/>
      <c r="E323" s="3" t="s">
        <v>206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21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206</v>
      </c>
      <c r="D324" s="3"/>
      <c r="E324" s="3" t="s">
        <v>206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108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206</v>
      </c>
      <c r="D325" s="3"/>
      <c r="E325" s="3" t="s">
        <v>206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206</v>
      </c>
      <c r="D326" s="3"/>
      <c r="E326" s="3" t="s">
        <v>206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206</v>
      </c>
      <c r="D327" s="3"/>
      <c r="E327" s="3" t="s">
        <v>206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109</v>
      </c>
      <c r="O327" s="3"/>
      <c r="P327" s="3"/>
      <c r="Q327" s="3">
        <v>0.67600000000000005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206</v>
      </c>
      <c r="D328" s="3"/>
      <c r="E328" s="3" t="s">
        <v>206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208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206</v>
      </c>
      <c r="D329" s="3"/>
      <c r="E329" s="3" t="s">
        <v>206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209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210</v>
      </c>
      <c r="D330" s="3"/>
      <c r="E330" s="3" t="s">
        <v>210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211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210</v>
      </c>
      <c r="D331" s="3"/>
      <c r="E331" s="3" t="s">
        <v>210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96</v>
      </c>
      <c r="O331" s="3"/>
      <c r="P331" s="3"/>
      <c r="Q331" s="3">
        <v>0.94399999999999995</v>
      </c>
      <c r="R331" s="3" t="s">
        <v>97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210</v>
      </c>
      <c r="D332" s="3"/>
      <c r="E332" s="3" t="s">
        <v>210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101</v>
      </c>
      <c r="O332" s="3"/>
      <c r="P332" s="3"/>
      <c r="Q332" s="3">
        <v>2.0569999999999999</v>
      </c>
      <c r="R332" s="3" t="s">
        <v>11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210</v>
      </c>
      <c r="D333" s="3"/>
      <c r="E333" s="3" t="s">
        <v>210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98</v>
      </c>
      <c r="O333" s="3"/>
      <c r="P333" s="3"/>
      <c r="Q333" s="3">
        <v>2.0569999999999999</v>
      </c>
      <c r="R333" s="3" t="s">
        <v>15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210</v>
      </c>
      <c r="D334" s="3"/>
      <c r="E334" s="3" t="s">
        <v>210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99</v>
      </c>
      <c r="O334" s="3"/>
      <c r="P334" s="3"/>
      <c r="Q334" s="3">
        <v>14.63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210</v>
      </c>
      <c r="D335" s="3"/>
      <c r="E335" s="3" t="s">
        <v>210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18</v>
      </c>
      <c r="O335" s="3"/>
      <c r="P335" s="3"/>
      <c r="Q335" s="3">
        <v>89.977000000000004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210</v>
      </c>
      <c r="D336" s="3"/>
      <c r="E336" s="3" t="s">
        <v>210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210</v>
      </c>
      <c r="D337" s="3"/>
      <c r="E337" s="3" t="s">
        <v>210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108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210</v>
      </c>
      <c r="D338" s="3"/>
      <c r="E338" s="3" t="s">
        <v>210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210</v>
      </c>
      <c r="D339" s="3"/>
      <c r="E339" s="3" t="s">
        <v>210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210</v>
      </c>
      <c r="D340" s="3"/>
      <c r="E340" s="3" t="s">
        <v>210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109</v>
      </c>
      <c r="O340" s="3"/>
      <c r="P340" s="3"/>
      <c r="Q340" s="3">
        <v>0.67600000000000005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210</v>
      </c>
      <c r="D341" s="3"/>
      <c r="E341" s="3" t="s">
        <v>210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212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210</v>
      </c>
      <c r="D342" s="3"/>
      <c r="E342" s="3" t="s">
        <v>210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214</v>
      </c>
      <c r="D343" s="3"/>
      <c r="E343" s="3" t="s">
        <v>214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215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214</v>
      </c>
      <c r="D344" s="3"/>
      <c r="E344" s="3" t="s">
        <v>214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96</v>
      </c>
      <c r="O344" s="3"/>
      <c r="P344" s="3"/>
      <c r="Q344" s="3">
        <v>1.04</v>
      </c>
      <c r="R344" s="3" t="s">
        <v>97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214</v>
      </c>
      <c r="D345" s="3"/>
      <c r="E345" s="3" t="s">
        <v>214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101</v>
      </c>
      <c r="O345" s="3"/>
      <c r="P345" s="3"/>
      <c r="Q345" s="3">
        <v>2.0569999999999999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214</v>
      </c>
      <c r="D346" s="3"/>
      <c r="E346" s="3" t="s">
        <v>214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98</v>
      </c>
      <c r="O346" s="3"/>
      <c r="P346" s="3"/>
      <c r="Q346" s="3">
        <v>2.0569999999999999</v>
      </c>
      <c r="R346" s="3" t="s">
        <v>15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214</v>
      </c>
      <c r="D347" s="3"/>
      <c r="E347" s="3" t="s">
        <v>214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99</v>
      </c>
      <c r="O347" s="3"/>
      <c r="P347" s="3"/>
      <c r="Q347" s="3">
        <v>15.24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214</v>
      </c>
      <c r="D348" s="3"/>
      <c r="E348" s="3" t="s">
        <v>214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18</v>
      </c>
      <c r="O348" s="3"/>
      <c r="P348" s="3"/>
      <c r="Q348" s="3">
        <v>93.725999999999999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214</v>
      </c>
      <c r="D349" s="3"/>
      <c r="E349" s="3" t="s">
        <v>214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21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214</v>
      </c>
      <c r="D350" s="3"/>
      <c r="E350" s="3" t="s">
        <v>214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108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214</v>
      </c>
      <c r="D351" s="3"/>
      <c r="E351" s="3" t="s">
        <v>214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214</v>
      </c>
      <c r="D352" s="3"/>
      <c r="E352" s="3" t="s">
        <v>214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214</v>
      </c>
      <c r="D353" s="3"/>
      <c r="E353" s="3" t="s">
        <v>214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109</v>
      </c>
      <c r="O353" s="3"/>
      <c r="P353" s="3"/>
      <c r="Q353" s="3">
        <v>0.67600000000000005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214</v>
      </c>
      <c r="D354" s="3"/>
      <c r="E354" s="3" t="s">
        <v>214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216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214</v>
      </c>
      <c r="D355" s="3"/>
      <c r="E355" s="3" t="s">
        <v>214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218</v>
      </c>
      <c r="D356" s="3"/>
      <c r="E356" s="3" t="s">
        <v>218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219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218</v>
      </c>
      <c r="D357" s="3"/>
      <c r="E357" s="3" t="s">
        <v>218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96</v>
      </c>
      <c r="O357" s="3"/>
      <c r="P357" s="3"/>
      <c r="Q357" s="3">
        <v>1.1359999999999999</v>
      </c>
      <c r="R357" s="3" t="s">
        <v>97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218</v>
      </c>
      <c r="D358" s="3"/>
      <c r="E358" s="3" t="s">
        <v>218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101</v>
      </c>
      <c r="O358" s="3"/>
      <c r="P358" s="3"/>
      <c r="Q358" s="3">
        <v>2.0569999999999999</v>
      </c>
      <c r="R358" s="3" t="s">
        <v>11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218</v>
      </c>
      <c r="D359" s="3"/>
      <c r="E359" s="3" t="s">
        <v>218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98</v>
      </c>
      <c r="O359" s="3"/>
      <c r="P359" s="3"/>
      <c r="Q359" s="3">
        <v>2.0569999999999999</v>
      </c>
      <c r="R359" s="3" t="s">
        <v>15</v>
      </c>
      <c r="S359" s="3"/>
      <c r="T359" s="3">
        <v>10</v>
      </c>
      <c r="U359" s="3"/>
      <c r="V359" s="3" t="s">
        <v>16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218</v>
      </c>
      <c r="D360" s="3"/>
      <c r="E360" s="3" t="s">
        <v>218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99</v>
      </c>
      <c r="O360" s="3"/>
      <c r="P360" s="3"/>
      <c r="Q360" s="3">
        <v>15.85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218</v>
      </c>
      <c r="D361" s="3"/>
      <c r="E361" s="3" t="s">
        <v>218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18</v>
      </c>
      <c r="O361" s="3"/>
      <c r="P361" s="3"/>
      <c r="Q361" s="3">
        <v>97.474999999999994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218</v>
      </c>
      <c r="D362" s="3"/>
      <c r="E362" s="3" t="s">
        <v>218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218</v>
      </c>
      <c r="D363" s="3"/>
      <c r="E363" s="3" t="s">
        <v>218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108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218</v>
      </c>
      <c r="D364" s="3"/>
      <c r="E364" s="3" t="s">
        <v>218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218</v>
      </c>
      <c r="D365" s="3"/>
      <c r="E365" s="3" t="s">
        <v>218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218</v>
      </c>
      <c r="D366" s="3"/>
      <c r="E366" s="3" t="s">
        <v>218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109</v>
      </c>
      <c r="O366" s="3"/>
      <c r="P366" s="3"/>
      <c r="Q366" s="3">
        <v>0.67600000000000005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218</v>
      </c>
      <c r="D367" s="3"/>
      <c r="E367" s="3" t="s">
        <v>218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220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218</v>
      </c>
      <c r="D368" s="3"/>
      <c r="E368" s="3" t="s">
        <v>218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221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222</v>
      </c>
      <c r="D369" s="3"/>
      <c r="E369" s="3" t="s">
        <v>222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223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222</v>
      </c>
      <c r="D370" s="3"/>
      <c r="E370" s="3" t="s">
        <v>222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96</v>
      </c>
      <c r="O370" s="3"/>
      <c r="P370" s="3"/>
      <c r="Q370" s="3">
        <v>0.48699999999999999</v>
      </c>
      <c r="R370" s="3" t="s">
        <v>97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222</v>
      </c>
      <c r="D371" s="3"/>
      <c r="E371" s="3" t="s">
        <v>222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101</v>
      </c>
      <c r="O371" s="3"/>
      <c r="P371" s="3"/>
      <c r="Q371" s="3">
        <v>2.1589999999999998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222</v>
      </c>
      <c r="D372" s="3"/>
      <c r="E372" s="3" t="s">
        <v>222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98</v>
      </c>
      <c r="O372" s="3"/>
      <c r="P372" s="3"/>
      <c r="Q372" s="3">
        <v>2.1589999999999998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222</v>
      </c>
      <c r="D373" s="3"/>
      <c r="E373" s="3" t="s">
        <v>222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99</v>
      </c>
      <c r="O373" s="3"/>
      <c r="P373" s="3"/>
      <c r="Q373" s="3">
        <v>11.989000000000001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222</v>
      </c>
      <c r="D374" s="3"/>
      <c r="E374" s="3" t="s">
        <v>222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18</v>
      </c>
      <c r="O374" s="3"/>
      <c r="P374" s="3"/>
      <c r="Q374" s="3">
        <v>73.730999999999995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222</v>
      </c>
      <c r="D375" s="3"/>
      <c r="E375" s="3" t="s">
        <v>222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21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222</v>
      </c>
      <c r="D376" s="3"/>
      <c r="E376" s="3" t="s">
        <v>222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108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222</v>
      </c>
      <c r="D377" s="3"/>
      <c r="E377" s="3" t="s">
        <v>222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222</v>
      </c>
      <c r="D378" s="3"/>
      <c r="E378" s="3" t="s">
        <v>222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222</v>
      </c>
      <c r="D379" s="3"/>
      <c r="E379" s="3" t="s">
        <v>222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109</v>
      </c>
      <c r="O379" s="3"/>
      <c r="P379" s="3"/>
      <c r="Q379" s="3">
        <v>0.70599999999999996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222</v>
      </c>
      <c r="D380" s="3"/>
      <c r="E380" s="3" t="s">
        <v>222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224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222</v>
      </c>
      <c r="D381" s="3"/>
      <c r="E381" s="3" t="s">
        <v>222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225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226</v>
      </c>
      <c r="D382" s="3"/>
      <c r="E382" s="3" t="s">
        <v>226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227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226</v>
      </c>
      <c r="D383" s="3"/>
      <c r="E383" s="3" t="s">
        <v>226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96</v>
      </c>
      <c r="O383" s="3"/>
      <c r="P383" s="3"/>
      <c r="Q383" s="3">
        <v>0.58799999999999997</v>
      </c>
      <c r="R383" s="3" t="s">
        <v>97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226</v>
      </c>
      <c r="D384" s="3"/>
      <c r="E384" s="3" t="s">
        <v>226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101</v>
      </c>
      <c r="O384" s="3"/>
      <c r="P384" s="3"/>
      <c r="Q384" s="3">
        <v>2.1589999999999998</v>
      </c>
      <c r="R384" s="3" t="s">
        <v>11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226</v>
      </c>
      <c r="D385" s="3"/>
      <c r="E385" s="3" t="s">
        <v>226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98</v>
      </c>
      <c r="O385" s="3"/>
      <c r="P385" s="3"/>
      <c r="Q385" s="3">
        <v>2.1589999999999998</v>
      </c>
      <c r="R385" s="3" t="s">
        <v>15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226</v>
      </c>
      <c r="D386" s="3"/>
      <c r="E386" s="3" t="s">
        <v>226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99</v>
      </c>
      <c r="O386" s="3"/>
      <c r="P386" s="3"/>
      <c r="Q386" s="3">
        <v>12.598000000000001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226</v>
      </c>
      <c r="D387" s="3"/>
      <c r="E387" s="3" t="s">
        <v>226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18</v>
      </c>
      <c r="O387" s="3"/>
      <c r="P387" s="3"/>
      <c r="Q387" s="3">
        <v>77.48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226</v>
      </c>
      <c r="D388" s="3"/>
      <c r="E388" s="3" t="s">
        <v>226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21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226</v>
      </c>
      <c r="D389" s="3"/>
      <c r="E389" s="3" t="s">
        <v>226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108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226</v>
      </c>
      <c r="D390" s="3"/>
      <c r="E390" s="3" t="s">
        <v>226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226</v>
      </c>
      <c r="D391" s="3"/>
      <c r="E391" s="3" t="s">
        <v>226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226</v>
      </c>
      <c r="D392" s="3"/>
      <c r="E392" s="3" t="s">
        <v>226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109</v>
      </c>
      <c r="O392" s="3"/>
      <c r="P392" s="3"/>
      <c r="Q392" s="3">
        <v>0.70599999999999996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226</v>
      </c>
      <c r="D393" s="3"/>
      <c r="E393" s="3" t="s">
        <v>226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228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226</v>
      </c>
      <c r="D394" s="3"/>
      <c r="E394" s="3" t="s">
        <v>226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229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230</v>
      </c>
      <c r="D395" s="3"/>
      <c r="E395" s="3" t="s">
        <v>230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231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230</v>
      </c>
      <c r="D396" s="3"/>
      <c r="E396" s="3" t="s">
        <v>230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96</v>
      </c>
      <c r="O396" s="3"/>
      <c r="P396" s="3"/>
      <c r="Q396" s="3">
        <v>0.68899999999999995</v>
      </c>
      <c r="R396" s="3" t="s">
        <v>97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230</v>
      </c>
      <c r="D397" s="3"/>
      <c r="E397" s="3" t="s">
        <v>230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101</v>
      </c>
      <c r="O397" s="3"/>
      <c r="P397" s="3"/>
      <c r="Q397" s="3">
        <v>2.1589999999999998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230</v>
      </c>
      <c r="D398" s="3"/>
      <c r="E398" s="3" t="s">
        <v>230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98</v>
      </c>
      <c r="O398" s="3"/>
      <c r="P398" s="3"/>
      <c r="Q398" s="3">
        <v>2.1589999999999998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230</v>
      </c>
      <c r="D399" s="3"/>
      <c r="E399" s="3" t="s">
        <v>230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99</v>
      </c>
      <c r="O399" s="3"/>
      <c r="P399" s="3"/>
      <c r="Q399" s="3">
        <v>13.208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230</v>
      </c>
      <c r="D400" s="3"/>
      <c r="E400" s="3" t="s">
        <v>230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81.228999999999999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230</v>
      </c>
      <c r="D401" s="3"/>
      <c r="E401" s="3" t="s">
        <v>230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21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230</v>
      </c>
      <c r="D402" s="3"/>
      <c r="E402" s="3" t="s">
        <v>230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108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230</v>
      </c>
      <c r="D403" s="3"/>
      <c r="E403" s="3" t="s">
        <v>230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230</v>
      </c>
      <c r="D404" s="3"/>
      <c r="E404" s="3" t="s">
        <v>230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230</v>
      </c>
      <c r="D405" s="3"/>
      <c r="E405" s="3" t="s">
        <v>230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109</v>
      </c>
      <c r="O405" s="3"/>
      <c r="P405" s="3"/>
      <c r="Q405" s="3">
        <v>0.70599999999999996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230</v>
      </c>
      <c r="D406" s="3"/>
      <c r="E406" s="3" t="s">
        <v>230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232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230</v>
      </c>
      <c r="D407" s="3"/>
      <c r="E407" s="3" t="s">
        <v>230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233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234</v>
      </c>
      <c r="D408" s="3"/>
      <c r="E408" s="3" t="s">
        <v>234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235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234</v>
      </c>
      <c r="D409" s="3"/>
      <c r="E409" s="3" t="s">
        <v>234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96</v>
      </c>
      <c r="O409" s="3"/>
      <c r="P409" s="3"/>
      <c r="Q409" s="3">
        <v>0.79</v>
      </c>
      <c r="R409" s="3" t="s">
        <v>97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234</v>
      </c>
      <c r="D410" s="3"/>
      <c r="E410" s="3" t="s">
        <v>234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101</v>
      </c>
      <c r="O410" s="3"/>
      <c r="P410" s="3"/>
      <c r="Q410" s="3">
        <v>2.1589999999999998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234</v>
      </c>
      <c r="D411" s="3"/>
      <c r="E411" s="3" t="s">
        <v>234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98</v>
      </c>
      <c r="O411" s="3"/>
      <c r="P411" s="3"/>
      <c r="Q411" s="3">
        <v>2.1589999999999998</v>
      </c>
      <c r="R411" s="3" t="s">
        <v>15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234</v>
      </c>
      <c r="D412" s="3"/>
      <c r="E412" s="3" t="s">
        <v>234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99</v>
      </c>
      <c r="O412" s="3"/>
      <c r="P412" s="3"/>
      <c r="Q412" s="3">
        <v>13.818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234</v>
      </c>
      <c r="D413" s="3"/>
      <c r="E413" s="3" t="s">
        <v>234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18</v>
      </c>
      <c r="O413" s="3"/>
      <c r="P413" s="3"/>
      <c r="Q413" s="3">
        <v>84.977999999999994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234</v>
      </c>
      <c r="D414" s="3"/>
      <c r="E414" s="3" t="s">
        <v>234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21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234</v>
      </c>
      <c r="D415" s="3"/>
      <c r="E415" s="3" t="s">
        <v>234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108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234</v>
      </c>
      <c r="D416" s="3"/>
      <c r="E416" s="3" t="s">
        <v>234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234</v>
      </c>
      <c r="D417" s="3"/>
      <c r="E417" s="3" t="s">
        <v>234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234</v>
      </c>
      <c r="D418" s="3"/>
      <c r="E418" s="3" t="s">
        <v>234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109</v>
      </c>
      <c r="O418" s="3"/>
      <c r="P418" s="3"/>
      <c r="Q418" s="3">
        <v>0.70599999999999996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234</v>
      </c>
      <c r="D419" s="3"/>
      <c r="E419" s="3" t="s">
        <v>234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236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234</v>
      </c>
      <c r="D420" s="3"/>
      <c r="E420" s="3" t="s">
        <v>234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237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238</v>
      </c>
      <c r="D421" s="3"/>
      <c r="E421" s="3" t="s">
        <v>238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239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238</v>
      </c>
      <c r="D422" s="3"/>
      <c r="E422" s="3" t="s">
        <v>238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96</v>
      </c>
      <c r="O422" s="3"/>
      <c r="P422" s="3"/>
      <c r="Q422" s="3">
        <v>0.99199999999999999</v>
      </c>
      <c r="R422" s="3" t="s">
        <v>97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238</v>
      </c>
      <c r="D423" s="3"/>
      <c r="E423" s="3" t="s">
        <v>238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101</v>
      </c>
      <c r="O423" s="3"/>
      <c r="P423" s="3"/>
      <c r="Q423" s="3">
        <v>2.1589999999999998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238</v>
      </c>
      <c r="D424" s="3"/>
      <c r="E424" s="3" t="s">
        <v>238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98</v>
      </c>
      <c r="O424" s="3"/>
      <c r="P424" s="3"/>
      <c r="Q424" s="3">
        <v>2.1589999999999998</v>
      </c>
      <c r="R424" s="3" t="s">
        <v>15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238</v>
      </c>
      <c r="D425" s="3"/>
      <c r="E425" s="3" t="s">
        <v>238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99</v>
      </c>
      <c r="O425" s="3"/>
      <c r="P425" s="3"/>
      <c r="Q425" s="3">
        <v>15.037000000000001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238</v>
      </c>
      <c r="D426" s="3"/>
      <c r="E426" s="3" t="s">
        <v>238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92.475999999999999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238</v>
      </c>
      <c r="D427" s="3"/>
      <c r="E427" s="3" t="s">
        <v>238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21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238</v>
      </c>
      <c r="D428" s="3"/>
      <c r="E428" s="3" t="s">
        <v>238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108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238</v>
      </c>
      <c r="D429" s="3"/>
      <c r="E429" s="3" t="s">
        <v>238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238</v>
      </c>
      <c r="D430" s="3"/>
      <c r="E430" s="3" t="s">
        <v>238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238</v>
      </c>
      <c r="D431" s="3"/>
      <c r="E431" s="3" t="s">
        <v>238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109</v>
      </c>
      <c r="O431" s="3"/>
      <c r="P431" s="3"/>
      <c r="Q431" s="3">
        <v>0.70599999999999996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238</v>
      </c>
      <c r="D432" s="3"/>
      <c r="E432" s="3" t="s">
        <v>238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240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238</v>
      </c>
      <c r="D433" s="3"/>
      <c r="E433" s="3" t="s">
        <v>238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241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242</v>
      </c>
      <c r="D434" s="3"/>
      <c r="E434" s="3" t="s">
        <v>242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243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242</v>
      </c>
      <c r="D435" s="3"/>
      <c r="E435" s="3" t="s">
        <v>242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96</v>
      </c>
      <c r="O435" s="3"/>
      <c r="P435" s="3"/>
      <c r="Q435" s="3">
        <v>1.0920000000000001</v>
      </c>
      <c r="R435" s="3" t="s">
        <v>97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242</v>
      </c>
      <c r="D436" s="3"/>
      <c r="E436" s="3" t="s">
        <v>242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101</v>
      </c>
      <c r="O436" s="3"/>
      <c r="P436" s="3"/>
      <c r="Q436" s="3">
        <v>2.1589999999999998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242</v>
      </c>
      <c r="D437" s="3"/>
      <c r="E437" s="3" t="s">
        <v>242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98</v>
      </c>
      <c r="O437" s="3"/>
      <c r="P437" s="3"/>
      <c r="Q437" s="3">
        <v>2.1589999999999998</v>
      </c>
      <c r="R437" s="3" t="s">
        <v>15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242</v>
      </c>
      <c r="D438" s="3"/>
      <c r="E438" s="3" t="s">
        <v>242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99</v>
      </c>
      <c r="O438" s="3"/>
      <c r="P438" s="3"/>
      <c r="Q438" s="3">
        <v>15.646000000000001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242</v>
      </c>
      <c r="D439" s="3"/>
      <c r="E439" s="3" t="s">
        <v>242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18</v>
      </c>
      <c r="O439" s="3"/>
      <c r="P439" s="3"/>
      <c r="Q439" s="3">
        <v>96.224999999999994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242</v>
      </c>
      <c r="D440" s="3"/>
      <c r="E440" s="3" t="s">
        <v>242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21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242</v>
      </c>
      <c r="D441" s="3"/>
      <c r="E441" s="3" t="s">
        <v>242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108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242</v>
      </c>
      <c r="D442" s="3"/>
      <c r="E442" s="3" t="s">
        <v>242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242</v>
      </c>
      <c r="D443" s="3"/>
      <c r="E443" s="3" t="s">
        <v>242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242</v>
      </c>
      <c r="D444" s="3"/>
      <c r="E444" s="3" t="s">
        <v>242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109</v>
      </c>
      <c r="O444" s="3"/>
      <c r="P444" s="3"/>
      <c r="Q444" s="3">
        <v>0.70599999999999996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242</v>
      </c>
      <c r="D445" s="3"/>
      <c r="E445" s="3" t="s">
        <v>242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244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242</v>
      </c>
      <c r="D446" s="3"/>
      <c r="E446" s="3" t="s">
        <v>242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245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246</v>
      </c>
      <c r="D447" s="3"/>
      <c r="E447" s="3" t="s">
        <v>246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247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246</v>
      </c>
      <c r="D448" s="3"/>
      <c r="E448" s="3" t="s">
        <v>246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96</v>
      </c>
      <c r="O448" s="3"/>
      <c r="P448" s="3"/>
      <c r="Q448" s="3">
        <v>1.1930000000000001</v>
      </c>
      <c r="R448" s="3" t="s">
        <v>97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246</v>
      </c>
      <c r="D449" s="3"/>
      <c r="E449" s="3" t="s">
        <v>246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101</v>
      </c>
      <c r="O449" s="3"/>
      <c r="P449" s="3"/>
      <c r="Q449" s="3">
        <v>2.1589999999999998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246</v>
      </c>
      <c r="D450" s="3"/>
      <c r="E450" s="3" t="s">
        <v>246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98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246</v>
      </c>
      <c r="D451" s="3"/>
      <c r="E451" s="3" t="s">
        <v>246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99</v>
      </c>
      <c r="O451" s="3"/>
      <c r="P451" s="3"/>
      <c r="Q451" s="3">
        <v>16.256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246</v>
      </c>
      <c r="D452" s="3"/>
      <c r="E452" s="3" t="s">
        <v>246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18</v>
      </c>
      <c r="O452" s="3"/>
      <c r="P452" s="3"/>
      <c r="Q452" s="3">
        <v>99.974000000000004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246</v>
      </c>
      <c r="D453" s="3"/>
      <c r="E453" s="3" t="s">
        <v>246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21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246</v>
      </c>
      <c r="D454" s="3"/>
      <c r="E454" s="3" t="s">
        <v>246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108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246</v>
      </c>
      <c r="D455" s="3"/>
      <c r="E455" s="3" t="s">
        <v>246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246</v>
      </c>
      <c r="D456" s="3"/>
      <c r="E456" s="3" t="s">
        <v>246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246</v>
      </c>
      <c r="D457" s="3"/>
      <c r="E457" s="3" t="s">
        <v>246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109</v>
      </c>
      <c r="O457" s="3"/>
      <c r="P457" s="3"/>
      <c r="Q457" s="3">
        <v>0.70599999999999996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246</v>
      </c>
      <c r="D458" s="3"/>
      <c r="E458" s="3" t="s">
        <v>246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248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246</v>
      </c>
      <c r="D459" s="3"/>
      <c r="E459" s="3" t="s">
        <v>246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249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2026-06-02T09:35:55Z</dcterms:modified>
</cp:coreProperties>
</file>