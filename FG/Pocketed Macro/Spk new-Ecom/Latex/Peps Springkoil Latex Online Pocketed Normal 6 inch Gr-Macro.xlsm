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Spk new-Ecom\Latex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</workbook>
</file>

<file path=xl/calcChain.xml><?xml version="1.0" encoding="utf-8"?>
<calcChain xmlns="http://schemas.openxmlformats.org/spreadsheetml/2006/main">
  <c r="E2" i="13" l="1"/>
  <c r="H13" i="13" l="1"/>
  <c r="E13" i="13"/>
  <c r="D13" i="13"/>
  <c r="D3" i="13" l="1"/>
  <c r="D4" i="13"/>
  <c r="D5" i="13"/>
  <c r="D6" i="13"/>
  <c r="D7" i="13"/>
  <c r="D8" i="13"/>
  <c r="D9" i="13"/>
  <c r="D10" i="13"/>
  <c r="D11" i="13"/>
  <c r="D12" i="13"/>
  <c r="D2" i="13"/>
  <c r="G5" i="13" l="1"/>
  <c r="H5" i="13" s="1"/>
  <c r="G4" i="13"/>
  <c r="G12" i="13"/>
  <c r="G3" i="13" l="1"/>
  <c r="H3" i="13" l="1"/>
  <c r="G7" i="13" l="1"/>
  <c r="H8" i="13" l="1"/>
  <c r="H9" i="13"/>
  <c r="H10" i="13"/>
  <c r="H11" i="13"/>
  <c r="H2" i="13"/>
  <c r="H12" i="13" l="1"/>
  <c r="H4" i="13" l="1"/>
  <c r="H7" i="13" l="1"/>
  <c r="G6" i="13"/>
  <c r="H6" i="13" s="1"/>
</calcChain>
</file>

<file path=xl/sharedStrings.xml><?xml version="1.0" encoding="utf-8"?>
<sst xmlns="http://schemas.openxmlformats.org/spreadsheetml/2006/main" count="4817" uniqueCount="239">
  <si>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</si>
  <si>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</si>
  <si>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</si>
  <si>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</si>
  <si>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</si>
  <si>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</si>
  <si>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</si>
  <si>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</si>
  <si>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</si>
  <si>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</si>
  <si>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</si>
  <si>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</si>
  <si>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</si>
  <si>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</si>
  <si>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</si>
  <si>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</si>
  <si>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</si>
  <si>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</si>
  <si>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</si>
  <si>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</si>
  <si>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</si>
  <si>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</si>
  <si>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</si>
  <si>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</si>
  <si>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</si>
  <si>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</si>
  <si>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</si>
  <si>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</si>
  <si>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</si>
  <si>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</si>
  <si>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</si>
  <si>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</si>
  <si>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</si>
  <si>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</si>
  <si>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</si>
  <si>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</si>
  <si>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</si>
  <si>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</si>
  <si>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</si>
  <si>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</si>
  <si>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</si>
  <si>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</si>
  <si>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</si>
  <si>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</si>
  <si>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</si>
  <si>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</si>
  <si>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</si>
  <si>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</si>
  <si>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</si>
  <si>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</si>
  <si>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</si>
  <si>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</si>
  <si>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</si>
  <si>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</si>
  <si>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</si>
  <si>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</si>
  <si>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</si>
  <si>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</si>
  <si>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</si>
  <si>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</si>
  <si>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</si>
  <si>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</si>
  <si>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</si>
  <si>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</si>
  <si>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</si>
  <si>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</si>
  <si>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</si>
  <si>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</si>
  <si>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</si>
  <si>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</si>
  <si>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</si>
  <si>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</si>
  <si>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</si>
  <si>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</si>
  <si>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</si>
  <si>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</si>
  <si>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</si>
  <si>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</si>
  <si>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</si>
  <si>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</si>
  <si>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</si>
  <si>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</si>
  <si>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</si>
  <si>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</si>
  <si>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</si>
  <si>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</si>
  <si>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</si>
  <si>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</si>
  <si>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</si>
  <si>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</si>
  <si>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</si>
  <si>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</si>
  <si>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RML-POLY-GUM</t>
  </si>
  <si>
    <t>LTR</t>
  </si>
  <si>
    <t>RMI-PVC-50</t>
  </si>
  <si>
    <t>SFG-SPKMF-BP</t>
  </si>
  <si>
    <t>RML-CS-PL-6.5</t>
  </si>
  <si>
    <t>SFG-SPKLTXGR-QUILT</t>
  </si>
  <si>
    <t>RML-ORG-EDTAPE-BR</t>
  </si>
  <si>
    <t>SKPKLTGN72X30X06-ECOM</t>
  </si>
  <si>
    <t>SKPKMFBL72X30X06-ECOM</t>
  </si>
  <si>
    <t>OEPKECOMBOXSR71.50X29.50X120</t>
  </si>
  <si>
    <t>25D-HELIXA-FOAM-71.50X29.50X15MM</t>
  </si>
  <si>
    <t>SKPKLTGN72X36X06-ECOM</t>
  </si>
  <si>
    <t>SKPKMFBL72X36X06-ECOM</t>
  </si>
  <si>
    <t>OEPKECOMBOXSR71.50X35.50X120</t>
  </si>
  <si>
    <t>25D-HELIXA-FOAM-71.50X35.50X15MM</t>
  </si>
  <si>
    <t>SKPKLTGN72X42X06-ECOM</t>
  </si>
  <si>
    <t>SKPKMFBL72X42X06-ECOM</t>
  </si>
  <si>
    <t>OEPKECOMBOXSR71.50X41.50X120</t>
  </si>
  <si>
    <t>25D-HELIXA-FOAM-71.50X41.50X15MM</t>
  </si>
  <si>
    <t>SKPKLTGN72X48X06-ECOM</t>
  </si>
  <si>
    <t>SKPKMFBL72X48X06-ECOM</t>
  </si>
  <si>
    <t>OEPKECOMBOXSR71.50X47.50X120</t>
  </si>
  <si>
    <t>25D-HELIXA-FOAM-71.50X47.50X15MM</t>
  </si>
  <si>
    <t>SKPKLTGN72X60X06-ECOM</t>
  </si>
  <si>
    <t>SKPKMFBL72X60X06-ECOM</t>
  </si>
  <si>
    <t>OEPKECOMBOXSR71.50X59.50X120</t>
  </si>
  <si>
    <t>25D-HELIXA-FOAM-71.50X59.50X15MM</t>
  </si>
  <si>
    <t>SKPKLTGN72X66X06-ECOM</t>
  </si>
  <si>
    <t>SKPKMFBL72X66X06-ECOM</t>
  </si>
  <si>
    <t>OEPKECOMBOXSR71.50X65.50X120</t>
  </si>
  <si>
    <t>25D-HELIXA-FOAM-71.50X65.50X15MM</t>
  </si>
  <si>
    <t>SKPKLTGN72X72X06-ECOM</t>
  </si>
  <si>
    <t>SKPKMFBL72X72X06-ECOM</t>
  </si>
  <si>
    <t>OEPKECOMBOXSR71.50X71.50X120</t>
  </si>
  <si>
    <t>25D-HELIXA-FOAM-71.50X71.50X15MM</t>
  </si>
  <si>
    <t>SKPKLTGN75X30X06-ECOM</t>
  </si>
  <si>
    <t>SKPKMFBL75X30X06-ECOM</t>
  </si>
  <si>
    <t>OEPKECOMBOXSR74.50X29.50X120</t>
  </si>
  <si>
    <t>25D-HELIXA-FOAM-74.50X29.50X15MM</t>
  </si>
  <si>
    <t>SKPKLTGN75X36X06-ECOM</t>
  </si>
  <si>
    <t>SKPKMFBL75X36X06-ECOM</t>
  </si>
  <si>
    <t>OEPKECOMBOXSR74.50X35.50X120</t>
  </si>
  <si>
    <t>25D-HELIXA-FOAM-74.50X35.50X15MM</t>
  </si>
  <si>
    <t>SKPKLTGN75X42X06-ECOM</t>
  </si>
  <si>
    <t>SKPKMFBL75X42X06-ECOM</t>
  </si>
  <si>
    <t>OEPKECOMBOXSR74.50X41.50X120</t>
  </si>
  <si>
    <t>25D-HELIXA-FOAM-74.50X41.50X15MM</t>
  </si>
  <si>
    <t>SKPKLTGN75X48X06-ECOM</t>
  </si>
  <si>
    <t>SKPKMFBL75X48X06-ECOM</t>
  </si>
  <si>
    <t>OEPKECOMBOXSR74.50X47.50X120</t>
  </si>
  <si>
    <t>25D-HELIXA-FOAM-74.50X47.50X15MM</t>
  </si>
  <si>
    <t>SKPKLTGN75X60X06-ECOM</t>
  </si>
  <si>
    <t>SKPKMFBL75X60X06-ECOM</t>
  </si>
  <si>
    <t>OEPKECOMBOXSR74.50X59.50X120</t>
  </si>
  <si>
    <t>25D-HELIXA-FOAM-74.50X59.50X15MM</t>
  </si>
  <si>
    <t>SKPKLTGN75X66X06-ECOM</t>
  </si>
  <si>
    <t>SKPKMFBL75X66X06-ECOM</t>
  </si>
  <si>
    <t>OEPKECOMBOXSR74.50X65.50X120</t>
  </si>
  <si>
    <t>25D-HELIXA-FOAM-74.50X65.50X15MM</t>
  </si>
  <si>
    <t>SKPKLTGN75X72X06-ECOM</t>
  </si>
  <si>
    <t>SKPKMFBL75X72X06-ECOM</t>
  </si>
  <si>
    <t>OEPKECOMBOXSR74.50X71.50X120</t>
  </si>
  <si>
    <t>25D-HELIXA-FOAM-74.50X71.50X15MM</t>
  </si>
  <si>
    <t>SKPKLTGN78X30X06-ECOM</t>
  </si>
  <si>
    <t>SKPKMFBL78X30X06-ECOM</t>
  </si>
  <si>
    <t>OEPKECOMBOXSR77.50X29.50X120</t>
  </si>
  <si>
    <t>25D-HELIXA-FOAM-77.50X29.50X15MM</t>
  </si>
  <si>
    <t>SKPKLTGN78X36X06-ECOM</t>
  </si>
  <si>
    <t>SKPKMFBL78X36X06-ECOM</t>
  </si>
  <si>
    <t>OEPKECOMBOXSR77.50X35.50X120</t>
  </si>
  <si>
    <t>25D-HELIXA-FOAM-77.50X35.50X15MM</t>
  </si>
  <si>
    <t>SKPKLTGN78X42X06-ECOM</t>
  </si>
  <si>
    <t>SKPKMFBL78X42X06-ECOM</t>
  </si>
  <si>
    <t>OEPKECOMBOXSR77.50X41.50X120</t>
  </si>
  <si>
    <t>25D-HELIXA-FOAM-77.50X41.50X15MM</t>
  </si>
  <si>
    <t>SKPKLTGN78X48X06-ECOM</t>
  </si>
  <si>
    <t>SKPKMFBL78X48X06-ECOM</t>
  </si>
  <si>
    <t>OEPKECOMBOXSR77.50X47.50X120</t>
  </si>
  <si>
    <t>25D-HELIXA-FOAM-77.50X47.50X15MM</t>
  </si>
  <si>
    <t>SKPKLTGN78X60X06-ECOM</t>
  </si>
  <si>
    <t>SKPKMFBL78X60X06-ECOM</t>
  </si>
  <si>
    <t>OEPKECOMBOXSR77.50X59.50X120</t>
  </si>
  <si>
    <t>25D-HELIXA-FOAM-77.50X59.50X15MM</t>
  </si>
  <si>
    <t>SKPKLTGN78X66X06-ECOM</t>
  </si>
  <si>
    <t>SKPKMFBL78X66X06-ECOM</t>
  </si>
  <si>
    <t>OEPKECOMBOXSR77.50X65.50X120</t>
  </si>
  <si>
    <t>25D-HELIXA-FOAM-77.50X65.50X15MM</t>
  </si>
  <si>
    <t>SKPKLTGN78X72X06-ECOM</t>
  </si>
  <si>
    <t>SKPKMFBL78X72X06-ECOM</t>
  </si>
  <si>
    <t>OEPKECOMBOXSR77.50X71.50X120</t>
  </si>
  <si>
    <t>25D-HELIXA-FOAM-77.50X71.50X15MM</t>
  </si>
  <si>
    <t>SKPKLTGN80X30X06-ECOM</t>
  </si>
  <si>
    <t>SKPKMFBL80X30X06-ECOM</t>
  </si>
  <si>
    <t>OEPKECOMBOXSR79.50X29.50X120</t>
  </si>
  <si>
    <t>25D-HELIXA-FOAM-79.50X29.50X15MM</t>
  </si>
  <si>
    <t>SKPKLTGN80X36X06-ECOM</t>
  </si>
  <si>
    <t>SKPKMFBL80X36X06-ECOM</t>
  </si>
  <si>
    <t>OEPKECOMBOXSR79.50X35.50X120</t>
  </si>
  <si>
    <t>25D-HELIXA-FOAM-79.50X35.50X15MM</t>
  </si>
  <si>
    <t>SKPKLTGN80X42X06-ECOM</t>
  </si>
  <si>
    <t>SKPKMFBL80X42X06-ECOM</t>
  </si>
  <si>
    <t>OEPKECOMBOXSR79.50X41.50X120</t>
  </si>
  <si>
    <t>25D-HELIXA-FOAM-79.50X41.50X15MM</t>
  </si>
  <si>
    <t>SKPKLTGN80X48X06-ECOM</t>
  </si>
  <si>
    <t>SKPKMFBL80X48X06-ECOM</t>
  </si>
  <si>
    <t>OEPKECOMBOXSR79.50X47.50X120</t>
  </si>
  <si>
    <t>25D-HELIXA-FOAM-79.50X47.50X15MM</t>
  </si>
  <si>
    <t>SKPKLTGN80X60X06-ECOM</t>
  </si>
  <si>
    <t>SKPKMFBL80X60X06-ECOM</t>
  </si>
  <si>
    <t>OEPKECOMBOXSR79.50X59.50X120</t>
  </si>
  <si>
    <t>25D-HELIXA-FOAM-79.50X59.50X15MM</t>
  </si>
  <si>
    <t>SKPKLTGN80X66X06-ECOM</t>
  </si>
  <si>
    <t>SKPKMFBL80X66X06-ECOM</t>
  </si>
  <si>
    <t>OEPKECOMBOXSR79.50X65.50X120</t>
  </si>
  <si>
    <t>25D-HELIXA-FOAM-79.50X65.50X15MM</t>
  </si>
  <si>
    <t>SKPKLTGN80X72X06-ECOM</t>
  </si>
  <si>
    <t>SKPKMFBL80X72X06-ECOM</t>
  </si>
  <si>
    <t>OEPKECOMBOXSR79.50X71.50X120</t>
  </si>
  <si>
    <t>25D-HELIXA-FOAM-79.50X71.50X15MM</t>
  </si>
  <si>
    <t>SKPKLTGN84X30X06-ECOM</t>
  </si>
  <si>
    <t>SKPKMFBL84X30X06-ECOM</t>
  </si>
  <si>
    <t>OEPKECOMBOXSR83.50X29.50X120</t>
  </si>
  <si>
    <t>25D-HELIXA-FOAM-83.50X29.50X15MM</t>
  </si>
  <si>
    <t>SKPKLTGN84X36X06-ECOM</t>
  </si>
  <si>
    <t>SKPKMFBL84X36X06-ECOM</t>
  </si>
  <si>
    <t>OEPKECOMBOXSR83.50X35.50X120</t>
  </si>
  <si>
    <t>25D-HELIXA-FOAM-83.50X35.50X15MM</t>
  </si>
  <si>
    <t>SKPKLTGN84X42X06-ECOM</t>
  </si>
  <si>
    <t>SKPKMFBL84X42X06-ECOM</t>
  </si>
  <si>
    <t>OEPKECOMBOXSR83.50X41.50X120</t>
  </si>
  <si>
    <t>25D-HELIXA-FOAM-83.50X41.50X15MM</t>
  </si>
  <si>
    <t>SKPKLTGN84X48X06-ECOM</t>
  </si>
  <si>
    <t>SKPKMFBL84X48X06-ECOM</t>
  </si>
  <si>
    <t>OEPKECOMBOXSR83.50X47.50X120</t>
  </si>
  <si>
    <t>25D-HELIXA-FOAM-83.50X47.50X15MM</t>
  </si>
  <si>
    <t>SKPKLTGN84X60X06-ECOM</t>
  </si>
  <si>
    <t>SKPKMFBL84X60X06-ECOM</t>
  </si>
  <si>
    <t>OEPKECOMBOXSR83.50X59.50X120</t>
  </si>
  <si>
    <t>25D-HELIXA-FOAM-83.50X59.50X15MM</t>
  </si>
  <si>
    <t>SKPKLTGN84X66X06-ECOM</t>
  </si>
  <si>
    <t>SKPKMFBL84X66X06-ECOM</t>
  </si>
  <si>
    <t>OEPKECOMBOXSR83.50X65.50X120</t>
  </si>
  <si>
    <t>25D-HELIXA-FOAM-83.50X65.50X15MM</t>
  </si>
  <si>
    <t>SKPKLTGN84X72X06-ECOM</t>
  </si>
  <si>
    <t>SKPKMFBL84X72X06-ECOM</t>
  </si>
  <si>
    <t>OEPKECOMBOXSR83.50X71.50X120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</si>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</sst>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86</v>
      </c>
      <c r="S1" t="s">
        <v>87</v>
      </c>
      <c r="T1" t="s">
        <v>88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"SKPKLTGN"&amp;$K$2&amp;"X"&amp;$L$2&amp;"X"&amp;"0"&amp;$M$2&amp;"-ECOM"</f>
        <v>SKPKLTGN75X36X06-ECOM</v>
      </c>
      <c r="E2" s="1" t="str">
        <f>"OEPKECOMBOXSR"&amp;(K2-0.5)&amp;"0"&amp;"X"&amp;(L2-0.5)&amp;"0"&amp;"X"&amp;IF(M2=5,"100",IF(M2=6,"120",IF(M2=8,"130",IF(M2=10,"150",0))))</f>
        <v>OEPKECOMBOXSR74.50X35.50X120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6">
        <v>6</v>
      </c>
      <c r="N2" s="6"/>
      <c r="P2" s="4" t="s">
        <v>91</v>
      </c>
      <c r="R2" s="36">
        <v>72</v>
      </c>
      <c r="S2" s="36">
        <v>30</v>
      </c>
      <c r="T2" s="36">
        <v>6</v>
      </c>
      <c r="U2" s="37"/>
    </row>
    <row r="3" spans="1:21" s="18" customFormat="1" x14ac:dyDescent="0.25">
      <c r="A3" s="38">
        <v>2</v>
      </c>
      <c r="B3" s="7" t="s">
        <v>19</v>
      </c>
      <c r="C3" s="7" t="s">
        <v>19</v>
      </c>
      <c r="D3" s="7" t="str">
        <f t="shared" ref="D3:D12" si="0">"SKPKLTGN"&amp;$K$2&amp;"X"&amp;$L$2&amp;"X"&amp;"0"&amp;$M$2&amp;"-ECOM"</f>
        <v>SKPKLTGN75X36X06-ECOM</v>
      </c>
      <c r="E3" s="40" t="s">
        <v>92</v>
      </c>
      <c r="F3" s="11" t="s">
        <v>93</v>
      </c>
      <c r="G3" s="41">
        <f>((K2-1)*(L2-1)/144)*0.00729*2</f>
        <v>0.26223749999999996</v>
      </c>
      <c r="H3" s="10">
        <f t="shared" ref="H3" si="1">ROUND(G3,3)</f>
        <v>0.26200000000000001</v>
      </c>
      <c r="I3" s="8" t="s">
        <v>14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6</v>
      </c>
      <c r="U3" s="37"/>
    </row>
    <row r="4" spans="1:21" x14ac:dyDescent="0.25">
      <c r="A4" s="38">
        <v>3</v>
      </c>
      <c r="B4" s="7" t="s">
        <v>17</v>
      </c>
      <c r="C4" s="7" t="s">
        <v>17</v>
      </c>
      <c r="D4" s="7" t="str">
        <f t="shared" si="0"/>
        <v>SKPKLTGN75X36X06-ECOM</v>
      </c>
      <c r="E4" s="19" t="s">
        <v>97</v>
      </c>
      <c r="F4" s="11" t="s">
        <v>15</v>
      </c>
      <c r="G4" s="25">
        <f>IF(K2&lt;79,(L2+1)*2,IF(L2&lt;37,(K2+1),(K2+1)*2))*0.0254</f>
        <v>1.8795999999999999</v>
      </c>
      <c r="H4" s="10">
        <f t="shared" ref="H4" si="2">ROUND(G4,3)</f>
        <v>1.88</v>
      </c>
      <c r="I4" s="20" t="s">
        <v>16</v>
      </c>
      <c r="J4" s="12"/>
      <c r="O4" s="18"/>
      <c r="R4" s="36">
        <v>72</v>
      </c>
      <c r="S4" s="36">
        <v>42</v>
      </c>
      <c r="T4" s="36">
        <v>6</v>
      </c>
      <c r="U4" s="37"/>
    </row>
    <row r="5" spans="1:21" x14ac:dyDescent="0.25">
      <c r="A5" s="38">
        <v>4</v>
      </c>
      <c r="B5" s="7" t="s">
        <v>17</v>
      </c>
      <c r="C5" s="7" t="s">
        <v>17</v>
      </c>
      <c r="D5" s="7" t="str">
        <f t="shared" si="0"/>
        <v>SKPKLTGN75X36X06-ECOM</v>
      </c>
      <c r="E5" s="26" t="s">
        <v>95</v>
      </c>
      <c r="F5" s="11" t="s">
        <v>15</v>
      </c>
      <c r="G5" s="25">
        <f>IF(K2&lt;79,(L2+1)*2,IF(L2&lt;37,(K2+1),(K2+1)*2))*0.0254</f>
        <v>1.8795999999999999</v>
      </c>
      <c r="H5" s="10">
        <f>ROUND(G5,3)</f>
        <v>1.88</v>
      </c>
      <c r="I5" s="8" t="s">
        <v>14</v>
      </c>
      <c r="J5" s="12"/>
      <c r="O5" s="18"/>
      <c r="R5" s="36">
        <v>72</v>
      </c>
      <c r="S5" s="36">
        <v>48</v>
      </c>
      <c r="T5" s="36">
        <v>6</v>
      </c>
      <c r="U5" s="37"/>
    </row>
    <row r="6" spans="1:21" x14ac:dyDescent="0.25">
      <c r="A6" s="38">
        <v>5</v>
      </c>
      <c r="B6" s="7" t="s">
        <v>19</v>
      </c>
      <c r="C6" s="7" t="s">
        <v>19</v>
      </c>
      <c r="D6" s="7" t="str">
        <f t="shared" si="0"/>
        <v>SKPKLTGN75X36X06-ECOM</v>
      </c>
      <c r="E6" s="44" t="s">
        <v>98</v>
      </c>
      <c r="F6" s="11" t="s">
        <v>15</v>
      </c>
      <c r="G6" s="10">
        <f>(K2+L2+4)*2*0.0254*2</f>
        <v>11.683999999999999</v>
      </c>
      <c r="H6" s="10">
        <f t="shared" ref="H6:H13" si="3">ROUND(G6,3)</f>
        <v>11.683999999999999</v>
      </c>
      <c r="I6" s="8" t="s">
        <v>14</v>
      </c>
      <c r="J6" s="12"/>
      <c r="R6" s="36">
        <v>72</v>
      </c>
      <c r="S6" s="36">
        <v>60</v>
      </c>
      <c r="T6" s="36">
        <v>6</v>
      </c>
      <c r="U6" s="37"/>
    </row>
    <row r="7" spans="1:21" x14ac:dyDescent="0.25">
      <c r="A7" s="38">
        <v>6</v>
      </c>
      <c r="B7" s="7" t="s">
        <v>19</v>
      </c>
      <c r="C7" s="7" t="s">
        <v>19</v>
      </c>
      <c r="D7" s="7" t="str">
        <f t="shared" si="0"/>
        <v>SKPKLTGN75X36X06-ECOM</v>
      </c>
      <c r="E7" s="15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6</v>
      </c>
      <c r="U7" s="37"/>
    </row>
    <row r="8" spans="1:21" x14ac:dyDescent="0.25">
      <c r="A8" s="38">
        <v>7</v>
      </c>
      <c r="B8" s="7" t="s">
        <v>20</v>
      </c>
      <c r="C8" s="9" t="s">
        <v>20</v>
      </c>
      <c r="D8" s="7" t="str">
        <f t="shared" si="0"/>
        <v>SKPKLTGN75X36X06-ECOM</v>
      </c>
      <c r="E8" s="39" t="s">
        <v>96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6</v>
      </c>
      <c r="U8" s="37"/>
    </row>
    <row r="9" spans="1:21" x14ac:dyDescent="0.25">
      <c r="A9" s="38">
        <v>8</v>
      </c>
      <c r="B9" s="7" t="s">
        <v>19</v>
      </c>
      <c r="C9" s="7" t="s">
        <v>19</v>
      </c>
      <c r="D9" s="7" t="str">
        <f t="shared" si="0"/>
        <v>SKPKLTGN75X36X06-ECOM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6</v>
      </c>
      <c r="U9" s="37"/>
    </row>
    <row r="10" spans="1:21" x14ac:dyDescent="0.25">
      <c r="A10" s="38">
        <v>9</v>
      </c>
      <c r="B10" s="7" t="s">
        <v>20</v>
      </c>
      <c r="C10" s="9" t="s">
        <v>20</v>
      </c>
      <c r="D10" s="7" t="str">
        <f t="shared" si="0"/>
        <v>SKPKLTGN75X36X06-ECOM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6</v>
      </c>
      <c r="U10" s="37"/>
    </row>
    <row r="11" spans="1:21" x14ac:dyDescent="0.25">
      <c r="A11" s="38">
        <v>10</v>
      </c>
      <c r="B11" s="7" t="s">
        <v>20</v>
      </c>
      <c r="C11" s="9" t="s">
        <v>20</v>
      </c>
      <c r="D11" s="7" t="str">
        <f t="shared" si="0"/>
        <v>SKPKLTGN75X36X06-ECOM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6</v>
      </c>
      <c r="U11" s="37"/>
    </row>
    <row r="12" spans="1:21" x14ac:dyDescent="0.25">
      <c r="A12" s="38">
        <v>11</v>
      </c>
      <c r="B12" s="7" t="s">
        <v>20</v>
      </c>
      <c r="C12" s="9" t="s">
        <v>20</v>
      </c>
      <c r="D12" s="7" t="str">
        <f t="shared" si="0"/>
        <v>SKPKLTGN75X36X06-ECOM</v>
      </c>
      <c r="E12" s="9" t="s">
        <v>94</v>
      </c>
      <c r="F12" s="11" t="s">
        <v>13</v>
      </c>
      <c r="G12" s="10">
        <f>IF(AND(K2&lt;=79,L2&lt;=79),((L2*2)+(M2*2)+4),IF(AND(K2&gt;=79,L2&gt;=79),((K2*2)+(M2*2)+((L2-79)*2)+4),IF(AND(K2&lt;=79,L2&gt;=79),((L2*2)+(M2*2)+4),IF(AND(K2&gt;=79,L2&lt;=79),((K2*2)+(M2*2)+4)))))*89.5*0.0254*0.0254*0.00005*1300</f>
        <v>0.33028321039999997</v>
      </c>
      <c r="H12" s="10">
        <f t="shared" si="3"/>
        <v>0.33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6</v>
      </c>
      <c r="U12" s="37"/>
    </row>
    <row r="13" spans="1:21" x14ac:dyDescent="0.25">
      <c r="A13" s="38">
        <v>12</v>
      </c>
      <c r="B13" s="7" t="s">
        <v>19</v>
      </c>
      <c r="C13" s="7" t="s">
        <v>19</v>
      </c>
      <c r="D13" s="7" t="str">
        <f t="shared" ref="D13" si="4">"SKPKMFBL"&amp;$K$2&amp;"X"&amp;$L$2&amp;"X"&amp;"0"&amp;$M$2&amp;"-ECOM"</f>
        <v>SKPKMFBL75X36X06-ECOM</v>
      </c>
      <c r="E13" s="19" t="str">
        <f>"25D-HELIXA-FOAM-"&amp;(K2-0.5)&amp;"0"&amp;"X"&amp;(L2-0.5)&amp;"0"&amp;"X"&amp;"15MM"</f>
        <v>25D-HELIXA-FOAM-74.50X35.50X15MM</v>
      </c>
      <c r="F13" s="11" t="s">
        <v>11</v>
      </c>
      <c r="G13" s="10">
        <v>2</v>
      </c>
      <c r="H13" s="10">
        <f t="shared" si="3"/>
        <v>2</v>
      </c>
      <c r="I13" s="20" t="s">
        <v>16</v>
      </c>
      <c r="J13" s="12"/>
      <c r="K13" s="22"/>
      <c r="R13" s="36">
        <v>75</v>
      </c>
      <c r="S13" s="36">
        <v>60</v>
      </c>
      <c r="T13" s="36">
        <v>6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6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6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6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6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6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6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6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6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6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6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6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6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6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6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6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6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6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6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6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6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6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6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6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99</v>
      </c>
      <c r="C2">
        <v>10</v>
      </c>
      <c r="D2" t="s">
        <v>101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99</v>
      </c>
      <c r="C3">
        <v>20</v>
      </c>
      <c r="D3" t="s">
        <v>92</v>
      </c>
      <c r="E3" t="s">
        <v>93</v>
      </c>
      <c r="F3">
        <v>0.20799999999999999</v>
      </c>
      <c r="G3" t="s">
        <v>14</v>
      </c>
    </row>
    <row r="4" spans="1:7" x14ac:dyDescent="0.25">
      <c r="A4">
        <v>1</v>
      </c>
      <c r="B4" t="s">
        <v>99</v>
      </c>
      <c r="C4">
        <v>30</v>
      </c>
      <c r="D4" t="s">
        <v>97</v>
      </c>
      <c r="E4" t="s">
        <v>15</v>
      </c>
      <c r="F4">
        <v>1.575</v>
      </c>
      <c r="G4" t="s">
        <v>16</v>
      </c>
    </row>
    <row r="5" spans="1:7" x14ac:dyDescent="0.25">
      <c r="A5">
        <v>1</v>
      </c>
      <c r="B5" t="s">
        <v>99</v>
      </c>
      <c r="C5">
        <v>40</v>
      </c>
      <c r="D5" t="s">
        <v>95</v>
      </c>
      <c r="E5" t="s">
        <v>15</v>
      </c>
      <c r="F5">
        <v>1.575</v>
      </c>
      <c r="G5" t="s">
        <v>14</v>
      </c>
    </row>
    <row r="6" spans="1:7" x14ac:dyDescent="0.25">
      <c r="A6">
        <v>1</v>
      </c>
      <c r="B6" t="s">
        <v>99</v>
      </c>
      <c r="C6">
        <v>50</v>
      </c>
      <c r="D6" t="s">
        <v>98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99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99</v>
      </c>
      <c r="C8">
        <v>70</v>
      </c>
      <c r="D8" t="s">
        <v>96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99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99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99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99</v>
      </c>
      <c r="C12">
        <v>110</v>
      </c>
      <c r="D12" t="s">
        <v>94</v>
      </c>
      <c r="E12" t="s">
        <v>13</v>
      </c>
      <c r="F12">
        <v>0.28499999999999998</v>
      </c>
      <c r="G12" t="s">
        <v>14</v>
      </c>
    </row>
    <row r="13" spans="1:7" x14ac:dyDescent="0.25">
      <c r="A13">
        <v>1</v>
      </c>
      <c r="B13" t="s">
        <v>100</v>
      </c>
      <c r="C13">
        <v>120</v>
      </c>
      <c r="D13" t="s">
        <v>102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103</v>
      </c>
      <c r="C14">
        <v>10</v>
      </c>
      <c r="D14" t="s">
        <v>105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103</v>
      </c>
      <c r="C15">
        <v>20</v>
      </c>
      <c r="D15" t="s">
        <v>92</v>
      </c>
      <c r="E15" t="s">
        <v>93</v>
      </c>
      <c r="F15">
        <v>0.252</v>
      </c>
      <c r="G15" t="s">
        <v>14</v>
      </c>
    </row>
    <row r="16" spans="1:7" x14ac:dyDescent="0.25">
      <c r="A16">
        <v>2</v>
      </c>
      <c r="B16" t="s">
        <v>103</v>
      </c>
      <c r="C16">
        <v>30</v>
      </c>
      <c r="D16" t="s">
        <v>97</v>
      </c>
      <c r="E16" t="s">
        <v>15</v>
      </c>
      <c r="F16">
        <v>1.88</v>
      </c>
      <c r="G16" t="s">
        <v>16</v>
      </c>
    </row>
    <row r="17" spans="1:7" x14ac:dyDescent="0.25">
      <c r="A17">
        <v>2</v>
      </c>
      <c r="B17" t="s">
        <v>103</v>
      </c>
      <c r="C17">
        <v>40</v>
      </c>
      <c r="D17" t="s">
        <v>95</v>
      </c>
      <c r="E17" t="s">
        <v>15</v>
      </c>
      <c r="F17">
        <v>1.88</v>
      </c>
      <c r="G17" t="s">
        <v>14</v>
      </c>
    </row>
    <row r="18" spans="1:7" x14ac:dyDescent="0.25">
      <c r="A18">
        <v>2</v>
      </c>
      <c r="B18" t="s">
        <v>103</v>
      </c>
      <c r="C18">
        <v>50</v>
      </c>
      <c r="D18" t="s">
        <v>98</v>
      </c>
      <c r="E18" t="s">
        <v>15</v>
      </c>
      <c r="F18">
        <v>11.379</v>
      </c>
      <c r="G18" t="s">
        <v>14</v>
      </c>
    </row>
    <row r="19" spans="1:7" x14ac:dyDescent="0.25">
      <c r="A19">
        <v>2</v>
      </c>
      <c r="B19" t="s">
        <v>103</v>
      </c>
      <c r="C19">
        <v>60</v>
      </c>
      <c r="D19" t="s">
        <v>18</v>
      </c>
      <c r="E19" t="s">
        <v>15</v>
      </c>
      <c r="F19">
        <v>69.981999999999999</v>
      </c>
      <c r="G19" t="s">
        <v>14</v>
      </c>
    </row>
    <row r="20" spans="1:7" x14ac:dyDescent="0.25">
      <c r="A20">
        <v>2</v>
      </c>
      <c r="B20" t="s">
        <v>103</v>
      </c>
      <c r="C20">
        <v>70</v>
      </c>
      <c r="D20" t="s">
        <v>96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103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103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103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103</v>
      </c>
      <c r="C24">
        <v>110</v>
      </c>
      <c r="D24" t="s">
        <v>94</v>
      </c>
      <c r="E24" t="s">
        <v>13</v>
      </c>
      <c r="F24">
        <v>0.33</v>
      </c>
      <c r="G24" t="s">
        <v>14</v>
      </c>
    </row>
    <row r="25" spans="1:7" x14ac:dyDescent="0.25">
      <c r="A25">
        <v>2</v>
      </c>
      <c r="B25" t="s">
        <v>104</v>
      </c>
      <c r="C25">
        <v>120</v>
      </c>
      <c r="D25" t="s">
        <v>106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107</v>
      </c>
      <c r="C26">
        <v>10</v>
      </c>
      <c r="D26" t="s">
        <v>109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107</v>
      </c>
      <c r="C27">
        <v>20</v>
      </c>
      <c r="D27" t="s">
        <v>92</v>
      </c>
      <c r="E27" t="s">
        <v>93</v>
      </c>
      <c r="F27">
        <v>0.29499999999999998</v>
      </c>
      <c r="G27" t="s">
        <v>14</v>
      </c>
    </row>
    <row r="28" spans="1:7" x14ac:dyDescent="0.25">
      <c r="A28">
        <v>3</v>
      </c>
      <c r="B28" t="s">
        <v>107</v>
      </c>
      <c r="C28">
        <v>30</v>
      </c>
      <c r="D28" t="s">
        <v>97</v>
      </c>
      <c r="E28" t="s">
        <v>15</v>
      </c>
      <c r="F28">
        <v>2.1840000000000002</v>
      </c>
      <c r="G28" t="s">
        <v>16</v>
      </c>
    </row>
    <row r="29" spans="1:7" x14ac:dyDescent="0.25">
      <c r="A29">
        <v>3</v>
      </c>
      <c r="B29" t="s">
        <v>107</v>
      </c>
      <c r="C29">
        <v>40</v>
      </c>
      <c r="D29" t="s">
        <v>95</v>
      </c>
      <c r="E29" t="s">
        <v>15</v>
      </c>
      <c r="F29">
        <v>2.1840000000000002</v>
      </c>
      <c r="G29" t="s">
        <v>14</v>
      </c>
    </row>
    <row r="30" spans="1:7" x14ac:dyDescent="0.25">
      <c r="A30">
        <v>3</v>
      </c>
      <c r="B30" t="s">
        <v>107</v>
      </c>
      <c r="C30">
        <v>50</v>
      </c>
      <c r="D30" t="s">
        <v>98</v>
      </c>
      <c r="E30" t="s">
        <v>15</v>
      </c>
      <c r="F30">
        <v>11.989000000000001</v>
      </c>
      <c r="G30" t="s">
        <v>14</v>
      </c>
    </row>
    <row r="31" spans="1:7" x14ac:dyDescent="0.25">
      <c r="A31">
        <v>3</v>
      </c>
      <c r="B31" t="s">
        <v>107</v>
      </c>
      <c r="C31">
        <v>60</v>
      </c>
      <c r="D31" t="s">
        <v>18</v>
      </c>
      <c r="E31" t="s">
        <v>15</v>
      </c>
      <c r="F31">
        <v>73.730999999999995</v>
      </c>
      <c r="G31" t="s">
        <v>14</v>
      </c>
    </row>
    <row r="32" spans="1:7" x14ac:dyDescent="0.25">
      <c r="A32">
        <v>3</v>
      </c>
      <c r="B32" t="s">
        <v>107</v>
      </c>
      <c r="C32">
        <v>70</v>
      </c>
      <c r="D32" t="s">
        <v>96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107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107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107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107</v>
      </c>
      <c r="C36">
        <v>110</v>
      </c>
      <c r="D36" t="s">
        <v>94</v>
      </c>
      <c r="E36" t="s">
        <v>13</v>
      </c>
      <c r="F36">
        <v>0.375</v>
      </c>
      <c r="G36" t="s">
        <v>14</v>
      </c>
    </row>
    <row r="37" spans="1:7" x14ac:dyDescent="0.25">
      <c r="A37">
        <v>3</v>
      </c>
      <c r="B37" t="s">
        <v>108</v>
      </c>
      <c r="C37">
        <v>120</v>
      </c>
      <c r="D37" t="s">
        <v>110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111</v>
      </c>
      <c r="C38">
        <v>10</v>
      </c>
      <c r="D38" t="s">
        <v>113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111</v>
      </c>
      <c r="C39">
        <v>20</v>
      </c>
      <c r="D39" t="s">
        <v>92</v>
      </c>
      <c r="E39" t="s">
        <v>93</v>
      </c>
      <c r="F39">
        <v>0.33800000000000002</v>
      </c>
      <c r="G39" t="s">
        <v>14</v>
      </c>
    </row>
    <row r="40" spans="1:7" x14ac:dyDescent="0.25">
      <c r="A40">
        <v>4</v>
      </c>
      <c r="B40" t="s">
        <v>111</v>
      </c>
      <c r="C40">
        <v>30</v>
      </c>
      <c r="D40" t="s">
        <v>97</v>
      </c>
      <c r="E40" t="s">
        <v>15</v>
      </c>
      <c r="F40">
        <v>2.4889999999999999</v>
      </c>
      <c r="G40" t="s">
        <v>16</v>
      </c>
    </row>
    <row r="41" spans="1:7" x14ac:dyDescent="0.25">
      <c r="A41">
        <v>4</v>
      </c>
      <c r="B41" t="s">
        <v>111</v>
      </c>
      <c r="C41">
        <v>40</v>
      </c>
      <c r="D41" t="s">
        <v>95</v>
      </c>
      <c r="E41" t="s">
        <v>15</v>
      </c>
      <c r="F41">
        <v>2.4889999999999999</v>
      </c>
      <c r="G41" t="s">
        <v>14</v>
      </c>
    </row>
    <row r="42" spans="1:7" x14ac:dyDescent="0.25">
      <c r="A42">
        <v>4</v>
      </c>
      <c r="B42" t="s">
        <v>111</v>
      </c>
      <c r="C42">
        <v>50</v>
      </c>
      <c r="D42" t="s">
        <v>98</v>
      </c>
      <c r="E42" t="s">
        <v>15</v>
      </c>
      <c r="F42">
        <v>12.598000000000001</v>
      </c>
      <c r="G42" t="s">
        <v>14</v>
      </c>
    </row>
    <row r="43" spans="1:7" x14ac:dyDescent="0.25">
      <c r="A43">
        <v>4</v>
      </c>
      <c r="B43" t="s">
        <v>111</v>
      </c>
      <c r="C43">
        <v>60</v>
      </c>
      <c r="D43" t="s">
        <v>18</v>
      </c>
      <c r="E43" t="s">
        <v>15</v>
      </c>
      <c r="F43">
        <v>77.48</v>
      </c>
      <c r="G43" t="s">
        <v>14</v>
      </c>
    </row>
    <row r="44" spans="1:7" x14ac:dyDescent="0.25">
      <c r="A44">
        <v>4</v>
      </c>
      <c r="B44" t="s">
        <v>111</v>
      </c>
      <c r="C44">
        <v>70</v>
      </c>
      <c r="D44" t="s">
        <v>96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111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111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111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111</v>
      </c>
      <c r="C48">
        <v>110</v>
      </c>
      <c r="D48" t="s">
        <v>94</v>
      </c>
      <c r="E48" t="s">
        <v>13</v>
      </c>
      <c r="F48">
        <v>0.42</v>
      </c>
      <c r="G48" t="s">
        <v>14</v>
      </c>
    </row>
    <row r="49" spans="1:7" x14ac:dyDescent="0.25">
      <c r="A49">
        <v>4</v>
      </c>
      <c r="B49" t="s">
        <v>112</v>
      </c>
      <c r="C49">
        <v>120</v>
      </c>
      <c r="D49" t="s">
        <v>114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115</v>
      </c>
      <c r="C50">
        <v>10</v>
      </c>
      <c r="D50" t="s">
        <v>117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115</v>
      </c>
      <c r="C51">
        <v>20</v>
      </c>
      <c r="D51" t="s">
        <v>92</v>
      </c>
      <c r="E51" t="s">
        <v>93</v>
      </c>
      <c r="F51">
        <v>0.42399999999999999</v>
      </c>
      <c r="G51" t="s">
        <v>14</v>
      </c>
    </row>
    <row r="52" spans="1:7" x14ac:dyDescent="0.25">
      <c r="A52">
        <v>5</v>
      </c>
      <c r="B52" t="s">
        <v>115</v>
      </c>
      <c r="C52">
        <v>30</v>
      </c>
      <c r="D52" t="s">
        <v>97</v>
      </c>
      <c r="E52" t="s">
        <v>15</v>
      </c>
      <c r="F52">
        <v>3.0990000000000002</v>
      </c>
      <c r="G52" t="s">
        <v>16</v>
      </c>
    </row>
    <row r="53" spans="1:7" x14ac:dyDescent="0.25">
      <c r="A53">
        <v>5</v>
      </c>
      <c r="B53" t="s">
        <v>115</v>
      </c>
      <c r="C53">
        <v>40</v>
      </c>
      <c r="D53" t="s">
        <v>95</v>
      </c>
      <c r="E53" t="s">
        <v>15</v>
      </c>
      <c r="F53">
        <v>3.0990000000000002</v>
      </c>
      <c r="G53" t="s">
        <v>14</v>
      </c>
    </row>
    <row r="54" spans="1:7" x14ac:dyDescent="0.25">
      <c r="A54">
        <v>5</v>
      </c>
      <c r="B54" t="s">
        <v>115</v>
      </c>
      <c r="C54">
        <v>50</v>
      </c>
      <c r="D54" t="s">
        <v>98</v>
      </c>
      <c r="E54" t="s">
        <v>15</v>
      </c>
      <c r="F54">
        <v>13.818</v>
      </c>
      <c r="G54" t="s">
        <v>14</v>
      </c>
    </row>
    <row r="55" spans="1:7" x14ac:dyDescent="0.25">
      <c r="A55">
        <v>5</v>
      </c>
      <c r="B55" t="s">
        <v>115</v>
      </c>
      <c r="C55">
        <v>60</v>
      </c>
      <c r="D55" t="s">
        <v>18</v>
      </c>
      <c r="E55" t="s">
        <v>15</v>
      </c>
      <c r="F55">
        <v>84.977999999999994</v>
      </c>
      <c r="G55" t="s">
        <v>14</v>
      </c>
    </row>
    <row r="56" spans="1:7" x14ac:dyDescent="0.25">
      <c r="A56">
        <v>5</v>
      </c>
      <c r="B56" t="s">
        <v>115</v>
      </c>
      <c r="C56">
        <v>70</v>
      </c>
      <c r="D56" t="s">
        <v>96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115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115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115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115</v>
      </c>
      <c r="C60">
        <v>110</v>
      </c>
      <c r="D60" t="s">
        <v>94</v>
      </c>
      <c r="E60" t="s">
        <v>13</v>
      </c>
      <c r="F60">
        <v>0.51</v>
      </c>
      <c r="G60" t="s">
        <v>14</v>
      </c>
    </row>
    <row r="61" spans="1:7" x14ac:dyDescent="0.25">
      <c r="A61">
        <v>5</v>
      </c>
      <c r="B61" t="s">
        <v>116</v>
      </c>
      <c r="C61">
        <v>120</v>
      </c>
      <c r="D61" t="s">
        <v>118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119</v>
      </c>
      <c r="C62">
        <v>10</v>
      </c>
      <c r="D62" t="s">
        <v>121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119</v>
      </c>
      <c r="C63">
        <v>20</v>
      </c>
      <c r="D63" t="s">
        <v>92</v>
      </c>
      <c r="E63" t="s">
        <v>93</v>
      </c>
      <c r="F63">
        <v>0.46700000000000003</v>
      </c>
      <c r="G63" t="s">
        <v>14</v>
      </c>
    </row>
    <row r="64" spans="1:7" x14ac:dyDescent="0.25">
      <c r="A64">
        <v>6</v>
      </c>
      <c r="B64" t="s">
        <v>119</v>
      </c>
      <c r="C64">
        <v>30</v>
      </c>
      <c r="D64" t="s">
        <v>97</v>
      </c>
      <c r="E64" t="s">
        <v>15</v>
      </c>
      <c r="F64">
        <v>3.4039999999999999</v>
      </c>
      <c r="G64" t="s">
        <v>16</v>
      </c>
    </row>
    <row r="65" spans="1:7" x14ac:dyDescent="0.25">
      <c r="A65">
        <v>6</v>
      </c>
      <c r="B65" t="s">
        <v>119</v>
      </c>
      <c r="C65">
        <v>40</v>
      </c>
      <c r="D65" t="s">
        <v>95</v>
      </c>
      <c r="E65" t="s">
        <v>15</v>
      </c>
      <c r="F65">
        <v>3.4039999999999999</v>
      </c>
      <c r="G65" t="s">
        <v>14</v>
      </c>
    </row>
    <row r="66" spans="1:7" x14ac:dyDescent="0.25">
      <c r="A66">
        <v>6</v>
      </c>
      <c r="B66" t="s">
        <v>119</v>
      </c>
      <c r="C66">
        <v>50</v>
      </c>
      <c r="D66" t="s">
        <v>98</v>
      </c>
      <c r="E66" t="s">
        <v>15</v>
      </c>
      <c r="F66">
        <v>14.427</v>
      </c>
      <c r="G66" t="s">
        <v>14</v>
      </c>
    </row>
    <row r="67" spans="1:7" x14ac:dyDescent="0.25">
      <c r="A67">
        <v>6</v>
      </c>
      <c r="B67" t="s">
        <v>119</v>
      </c>
      <c r="C67">
        <v>60</v>
      </c>
      <c r="D67" t="s">
        <v>18</v>
      </c>
      <c r="E67" t="s">
        <v>15</v>
      </c>
      <c r="F67">
        <v>88.727000000000004</v>
      </c>
      <c r="G67" t="s">
        <v>14</v>
      </c>
    </row>
    <row r="68" spans="1:7" x14ac:dyDescent="0.25">
      <c r="A68">
        <v>6</v>
      </c>
      <c r="B68" t="s">
        <v>119</v>
      </c>
      <c r="C68">
        <v>70</v>
      </c>
      <c r="D68" t="s">
        <v>96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119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119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119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119</v>
      </c>
      <c r="C72">
        <v>110</v>
      </c>
      <c r="D72" t="s">
        <v>94</v>
      </c>
      <c r="E72" t="s">
        <v>13</v>
      </c>
      <c r="F72">
        <v>0.55500000000000005</v>
      </c>
      <c r="G72" t="s">
        <v>14</v>
      </c>
    </row>
    <row r="73" spans="1:7" x14ac:dyDescent="0.25">
      <c r="A73">
        <v>6</v>
      </c>
      <c r="B73" t="s">
        <v>120</v>
      </c>
      <c r="C73">
        <v>120</v>
      </c>
      <c r="D73" t="s">
        <v>122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123</v>
      </c>
      <c r="C74">
        <v>10</v>
      </c>
      <c r="D74" t="s">
        <v>125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123</v>
      </c>
      <c r="C75">
        <v>20</v>
      </c>
      <c r="D75" t="s">
        <v>92</v>
      </c>
      <c r="E75" t="s">
        <v>93</v>
      </c>
      <c r="F75">
        <v>0.51</v>
      </c>
      <c r="G75" t="s">
        <v>14</v>
      </c>
    </row>
    <row r="76" spans="1:7" x14ac:dyDescent="0.25">
      <c r="A76">
        <v>7</v>
      </c>
      <c r="B76" t="s">
        <v>123</v>
      </c>
      <c r="C76">
        <v>30</v>
      </c>
      <c r="D76" t="s">
        <v>97</v>
      </c>
      <c r="E76" t="s">
        <v>15</v>
      </c>
      <c r="F76">
        <v>3.7080000000000002</v>
      </c>
      <c r="G76" t="s">
        <v>16</v>
      </c>
    </row>
    <row r="77" spans="1:7" x14ac:dyDescent="0.25">
      <c r="A77">
        <v>7</v>
      </c>
      <c r="B77" t="s">
        <v>123</v>
      </c>
      <c r="C77">
        <v>40</v>
      </c>
      <c r="D77" t="s">
        <v>95</v>
      </c>
      <c r="E77" t="s">
        <v>15</v>
      </c>
      <c r="F77">
        <v>3.7080000000000002</v>
      </c>
      <c r="G77" t="s">
        <v>14</v>
      </c>
    </row>
    <row r="78" spans="1:7" x14ac:dyDescent="0.25">
      <c r="A78">
        <v>7</v>
      </c>
      <c r="B78" t="s">
        <v>123</v>
      </c>
      <c r="C78">
        <v>50</v>
      </c>
      <c r="D78" t="s">
        <v>98</v>
      </c>
      <c r="E78" t="s">
        <v>15</v>
      </c>
      <c r="F78">
        <v>15.037000000000001</v>
      </c>
      <c r="G78" t="s">
        <v>14</v>
      </c>
    </row>
    <row r="79" spans="1:7" x14ac:dyDescent="0.25">
      <c r="A79">
        <v>7</v>
      </c>
      <c r="B79" t="s">
        <v>123</v>
      </c>
      <c r="C79">
        <v>60</v>
      </c>
      <c r="D79" t="s">
        <v>18</v>
      </c>
      <c r="E79" t="s">
        <v>15</v>
      </c>
      <c r="F79">
        <v>92.475999999999999</v>
      </c>
      <c r="G79" t="s">
        <v>14</v>
      </c>
    </row>
    <row r="80" spans="1:7" x14ac:dyDescent="0.25">
      <c r="A80">
        <v>7</v>
      </c>
      <c r="B80" t="s">
        <v>123</v>
      </c>
      <c r="C80">
        <v>70</v>
      </c>
      <c r="D80" t="s">
        <v>96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123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123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123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123</v>
      </c>
      <c r="C84">
        <v>110</v>
      </c>
      <c r="D84" t="s">
        <v>94</v>
      </c>
      <c r="E84" t="s">
        <v>13</v>
      </c>
      <c r="F84">
        <v>0.60099999999999998</v>
      </c>
      <c r="G84" t="s">
        <v>14</v>
      </c>
    </row>
    <row r="85" spans="1:7" x14ac:dyDescent="0.25">
      <c r="A85">
        <v>7</v>
      </c>
      <c r="B85" t="s">
        <v>124</v>
      </c>
      <c r="C85">
        <v>120</v>
      </c>
      <c r="D85" t="s">
        <v>126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127</v>
      </c>
      <c r="C86">
        <v>10</v>
      </c>
      <c r="D86" t="s">
        <v>129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127</v>
      </c>
      <c r="C87">
        <v>20</v>
      </c>
      <c r="D87" t="s">
        <v>92</v>
      </c>
      <c r="E87" t="s">
        <v>93</v>
      </c>
      <c r="F87">
        <v>0.217</v>
      </c>
      <c r="G87" t="s">
        <v>14</v>
      </c>
    </row>
    <row r="88" spans="1:7" x14ac:dyDescent="0.25">
      <c r="A88">
        <v>8</v>
      </c>
      <c r="B88" t="s">
        <v>127</v>
      </c>
      <c r="C88">
        <v>30</v>
      </c>
      <c r="D88" t="s">
        <v>97</v>
      </c>
      <c r="E88" t="s">
        <v>15</v>
      </c>
      <c r="F88">
        <v>1.575</v>
      </c>
      <c r="G88" t="s">
        <v>16</v>
      </c>
    </row>
    <row r="89" spans="1:7" x14ac:dyDescent="0.25">
      <c r="A89">
        <v>8</v>
      </c>
      <c r="B89" t="s">
        <v>127</v>
      </c>
      <c r="C89">
        <v>40</v>
      </c>
      <c r="D89" t="s">
        <v>95</v>
      </c>
      <c r="E89" t="s">
        <v>15</v>
      </c>
      <c r="F89">
        <v>1.575</v>
      </c>
      <c r="G89" t="s">
        <v>14</v>
      </c>
    </row>
    <row r="90" spans="1:7" x14ac:dyDescent="0.25">
      <c r="A90">
        <v>8</v>
      </c>
      <c r="B90" t="s">
        <v>127</v>
      </c>
      <c r="C90">
        <v>50</v>
      </c>
      <c r="D90" t="s">
        <v>98</v>
      </c>
      <c r="E90" t="s">
        <v>15</v>
      </c>
      <c r="F90">
        <v>11.074</v>
      </c>
      <c r="G90" t="s">
        <v>14</v>
      </c>
    </row>
    <row r="91" spans="1:7" x14ac:dyDescent="0.25">
      <c r="A91">
        <v>8</v>
      </c>
      <c r="B91" t="s">
        <v>127</v>
      </c>
      <c r="C91">
        <v>60</v>
      </c>
      <c r="D91" t="s">
        <v>18</v>
      </c>
      <c r="E91" t="s">
        <v>15</v>
      </c>
      <c r="F91">
        <v>68.108000000000004</v>
      </c>
      <c r="G91" t="s">
        <v>14</v>
      </c>
    </row>
    <row r="92" spans="1:7" x14ac:dyDescent="0.25">
      <c r="A92">
        <v>8</v>
      </c>
      <c r="B92" t="s">
        <v>127</v>
      </c>
      <c r="C92">
        <v>70</v>
      </c>
      <c r="D92" t="s">
        <v>96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127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127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127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127</v>
      </c>
      <c r="C96">
        <v>110</v>
      </c>
      <c r="D96" t="s">
        <v>94</v>
      </c>
      <c r="E96" t="s">
        <v>13</v>
      </c>
      <c r="F96">
        <v>0.28499999999999998</v>
      </c>
      <c r="G96" t="s">
        <v>14</v>
      </c>
    </row>
    <row r="97" spans="1:7" x14ac:dyDescent="0.25">
      <c r="A97">
        <v>8</v>
      </c>
      <c r="B97" t="s">
        <v>128</v>
      </c>
      <c r="C97">
        <v>120</v>
      </c>
      <c r="D97" t="s">
        <v>130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131</v>
      </c>
      <c r="C98">
        <v>10</v>
      </c>
      <c r="D98" t="s">
        <v>133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131</v>
      </c>
      <c r="C99">
        <v>20</v>
      </c>
      <c r="D99" t="s">
        <v>92</v>
      </c>
      <c r="E99" t="s">
        <v>93</v>
      </c>
      <c r="F99">
        <v>0.26200000000000001</v>
      </c>
      <c r="G99" t="s">
        <v>14</v>
      </c>
    </row>
    <row r="100" spans="1:7" x14ac:dyDescent="0.25">
      <c r="A100">
        <v>9</v>
      </c>
      <c r="B100" t="s">
        <v>131</v>
      </c>
      <c r="C100">
        <v>30</v>
      </c>
      <c r="D100" t="s">
        <v>97</v>
      </c>
      <c r="E100" t="s">
        <v>15</v>
      </c>
      <c r="F100">
        <v>1.88</v>
      </c>
      <c r="G100" t="s">
        <v>16</v>
      </c>
    </row>
    <row r="101" spans="1:7" x14ac:dyDescent="0.25">
      <c r="A101">
        <v>9</v>
      </c>
      <c r="B101" t="s">
        <v>131</v>
      </c>
      <c r="C101">
        <v>40</v>
      </c>
      <c r="D101" t="s">
        <v>95</v>
      </c>
      <c r="E101" t="s">
        <v>15</v>
      </c>
      <c r="F101">
        <v>1.88</v>
      </c>
      <c r="G101" t="s">
        <v>14</v>
      </c>
    </row>
    <row r="102" spans="1:7" x14ac:dyDescent="0.25">
      <c r="A102">
        <v>9</v>
      </c>
      <c r="B102" t="s">
        <v>131</v>
      </c>
      <c r="C102">
        <v>50</v>
      </c>
      <c r="D102" t="s">
        <v>98</v>
      </c>
      <c r="E102" t="s">
        <v>15</v>
      </c>
      <c r="F102">
        <v>11.683999999999999</v>
      </c>
      <c r="G102" t="s">
        <v>14</v>
      </c>
    </row>
    <row r="103" spans="1:7" x14ac:dyDescent="0.25">
      <c r="A103">
        <v>9</v>
      </c>
      <c r="B103" t="s">
        <v>131</v>
      </c>
      <c r="C103">
        <v>60</v>
      </c>
      <c r="D103" t="s">
        <v>18</v>
      </c>
      <c r="E103" t="s">
        <v>15</v>
      </c>
      <c r="F103">
        <v>71.856999999999999</v>
      </c>
      <c r="G103" t="s">
        <v>14</v>
      </c>
    </row>
    <row r="104" spans="1:7" x14ac:dyDescent="0.25">
      <c r="A104">
        <v>9</v>
      </c>
      <c r="B104" t="s">
        <v>131</v>
      </c>
      <c r="C104">
        <v>70</v>
      </c>
      <c r="D104" t="s">
        <v>96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131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131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131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131</v>
      </c>
      <c r="C108">
        <v>110</v>
      </c>
      <c r="D108" t="s">
        <v>94</v>
      </c>
      <c r="E108" t="s">
        <v>13</v>
      </c>
      <c r="F108">
        <v>0.33</v>
      </c>
      <c r="G108" t="s">
        <v>14</v>
      </c>
    </row>
    <row r="109" spans="1:7" x14ac:dyDescent="0.25">
      <c r="A109">
        <v>9</v>
      </c>
      <c r="B109" t="s">
        <v>132</v>
      </c>
      <c r="C109">
        <v>120</v>
      </c>
      <c r="D109" t="s">
        <v>134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135</v>
      </c>
      <c r="C110">
        <v>10</v>
      </c>
      <c r="D110" t="s">
        <v>137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135</v>
      </c>
      <c r="C111">
        <v>20</v>
      </c>
      <c r="D111" t="s">
        <v>92</v>
      </c>
      <c r="E111" t="s">
        <v>93</v>
      </c>
      <c r="F111">
        <v>0.307</v>
      </c>
      <c r="G111" t="s">
        <v>14</v>
      </c>
    </row>
    <row r="112" spans="1:7" x14ac:dyDescent="0.25">
      <c r="A112">
        <v>10</v>
      </c>
      <c r="B112" t="s">
        <v>135</v>
      </c>
      <c r="C112">
        <v>30</v>
      </c>
      <c r="D112" t="s">
        <v>97</v>
      </c>
      <c r="E112" t="s">
        <v>15</v>
      </c>
      <c r="F112">
        <v>2.1840000000000002</v>
      </c>
      <c r="G112" t="s">
        <v>16</v>
      </c>
    </row>
    <row r="113" spans="1:7" x14ac:dyDescent="0.25">
      <c r="A113">
        <v>10</v>
      </c>
      <c r="B113" t="s">
        <v>135</v>
      </c>
      <c r="C113">
        <v>40</v>
      </c>
      <c r="D113" t="s">
        <v>95</v>
      </c>
      <c r="E113" t="s">
        <v>15</v>
      </c>
      <c r="F113">
        <v>2.1840000000000002</v>
      </c>
      <c r="G113" t="s">
        <v>14</v>
      </c>
    </row>
    <row r="114" spans="1:7" x14ac:dyDescent="0.25">
      <c r="A114">
        <v>10</v>
      </c>
      <c r="B114" t="s">
        <v>135</v>
      </c>
      <c r="C114">
        <v>50</v>
      </c>
      <c r="D114" t="s">
        <v>98</v>
      </c>
      <c r="E114" t="s">
        <v>15</v>
      </c>
      <c r="F114">
        <v>12.294</v>
      </c>
      <c r="G114" t="s">
        <v>14</v>
      </c>
    </row>
    <row r="115" spans="1:7" x14ac:dyDescent="0.25">
      <c r="A115">
        <v>10</v>
      </c>
      <c r="B115" t="s">
        <v>135</v>
      </c>
      <c r="C115">
        <v>60</v>
      </c>
      <c r="D115" t="s">
        <v>18</v>
      </c>
      <c r="E115" t="s">
        <v>15</v>
      </c>
      <c r="F115">
        <v>75.605999999999995</v>
      </c>
      <c r="G115" t="s">
        <v>14</v>
      </c>
    </row>
    <row r="116" spans="1:7" x14ac:dyDescent="0.25">
      <c r="A116">
        <v>10</v>
      </c>
      <c r="B116" t="s">
        <v>135</v>
      </c>
      <c r="C116">
        <v>70</v>
      </c>
      <c r="D116" t="s">
        <v>96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135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135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135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135</v>
      </c>
      <c r="C120">
        <v>110</v>
      </c>
      <c r="D120" t="s">
        <v>94</v>
      </c>
      <c r="E120" t="s">
        <v>13</v>
      </c>
      <c r="F120">
        <v>0.375</v>
      </c>
      <c r="G120" t="s">
        <v>14</v>
      </c>
    </row>
    <row r="121" spans="1:7" x14ac:dyDescent="0.25">
      <c r="A121">
        <v>10</v>
      </c>
      <c r="B121" t="s">
        <v>136</v>
      </c>
      <c r="C121">
        <v>120</v>
      </c>
      <c r="D121" t="s">
        <v>138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139</v>
      </c>
      <c r="C122">
        <v>10</v>
      </c>
      <c r="D122" t="s">
        <v>141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139</v>
      </c>
      <c r="C123">
        <v>20</v>
      </c>
      <c r="D123" t="s">
        <v>92</v>
      </c>
      <c r="E123" t="s">
        <v>93</v>
      </c>
      <c r="F123">
        <v>0.35199999999999998</v>
      </c>
      <c r="G123" t="s">
        <v>14</v>
      </c>
    </row>
    <row r="124" spans="1:7" x14ac:dyDescent="0.25">
      <c r="A124">
        <v>11</v>
      </c>
      <c r="B124" t="s">
        <v>139</v>
      </c>
      <c r="C124">
        <v>30</v>
      </c>
      <c r="D124" t="s">
        <v>97</v>
      </c>
      <c r="E124" t="s">
        <v>15</v>
      </c>
      <c r="F124">
        <v>2.4889999999999999</v>
      </c>
      <c r="G124" t="s">
        <v>16</v>
      </c>
    </row>
    <row r="125" spans="1:7" x14ac:dyDescent="0.25">
      <c r="A125">
        <v>11</v>
      </c>
      <c r="B125" t="s">
        <v>139</v>
      </c>
      <c r="C125">
        <v>40</v>
      </c>
      <c r="D125" t="s">
        <v>95</v>
      </c>
      <c r="E125" t="s">
        <v>15</v>
      </c>
      <c r="F125">
        <v>2.4889999999999999</v>
      </c>
      <c r="G125" t="s">
        <v>14</v>
      </c>
    </row>
    <row r="126" spans="1:7" x14ac:dyDescent="0.25">
      <c r="A126">
        <v>11</v>
      </c>
      <c r="B126" t="s">
        <v>139</v>
      </c>
      <c r="C126">
        <v>50</v>
      </c>
      <c r="D126" t="s">
        <v>98</v>
      </c>
      <c r="E126" t="s">
        <v>15</v>
      </c>
      <c r="F126">
        <v>12.903</v>
      </c>
      <c r="G126" t="s">
        <v>14</v>
      </c>
    </row>
    <row r="127" spans="1:7" x14ac:dyDescent="0.25">
      <c r="A127">
        <v>11</v>
      </c>
      <c r="B127" t="s">
        <v>139</v>
      </c>
      <c r="C127">
        <v>60</v>
      </c>
      <c r="D127" t="s">
        <v>18</v>
      </c>
      <c r="E127" t="s">
        <v>15</v>
      </c>
      <c r="F127">
        <v>79.355000000000004</v>
      </c>
      <c r="G127" t="s">
        <v>14</v>
      </c>
    </row>
    <row r="128" spans="1:7" x14ac:dyDescent="0.25">
      <c r="A128">
        <v>11</v>
      </c>
      <c r="B128" t="s">
        <v>139</v>
      </c>
      <c r="C128">
        <v>70</v>
      </c>
      <c r="D128" t="s">
        <v>96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139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139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139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139</v>
      </c>
      <c r="C132">
        <v>110</v>
      </c>
      <c r="D132" t="s">
        <v>94</v>
      </c>
      <c r="E132" t="s">
        <v>13</v>
      </c>
      <c r="F132">
        <v>0.42</v>
      </c>
      <c r="G132" t="s">
        <v>14</v>
      </c>
    </row>
    <row r="133" spans="1:7" x14ac:dyDescent="0.25">
      <c r="A133">
        <v>11</v>
      </c>
      <c r="B133" t="s">
        <v>140</v>
      </c>
      <c r="C133">
        <v>120</v>
      </c>
      <c r="D133" t="s">
        <v>142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143</v>
      </c>
      <c r="C134">
        <v>10</v>
      </c>
      <c r="D134" t="s">
        <v>145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143</v>
      </c>
      <c r="C135">
        <v>20</v>
      </c>
      <c r="D135" t="s">
        <v>92</v>
      </c>
      <c r="E135" t="s">
        <v>93</v>
      </c>
      <c r="F135">
        <v>0.442</v>
      </c>
      <c r="G135" t="s">
        <v>14</v>
      </c>
    </row>
    <row r="136" spans="1:7" x14ac:dyDescent="0.25">
      <c r="A136">
        <v>12</v>
      </c>
      <c r="B136" t="s">
        <v>143</v>
      </c>
      <c r="C136">
        <v>30</v>
      </c>
      <c r="D136" t="s">
        <v>97</v>
      </c>
      <c r="E136" t="s">
        <v>15</v>
      </c>
      <c r="F136">
        <v>3.0990000000000002</v>
      </c>
      <c r="G136" t="s">
        <v>16</v>
      </c>
    </row>
    <row r="137" spans="1:7" x14ac:dyDescent="0.25">
      <c r="A137">
        <v>12</v>
      </c>
      <c r="B137" t="s">
        <v>143</v>
      </c>
      <c r="C137">
        <v>40</v>
      </c>
      <c r="D137" t="s">
        <v>95</v>
      </c>
      <c r="E137" t="s">
        <v>15</v>
      </c>
      <c r="F137">
        <v>3.0990000000000002</v>
      </c>
      <c r="G137" t="s">
        <v>14</v>
      </c>
    </row>
    <row r="138" spans="1:7" x14ac:dyDescent="0.25">
      <c r="A138">
        <v>12</v>
      </c>
      <c r="B138" t="s">
        <v>143</v>
      </c>
      <c r="C138">
        <v>50</v>
      </c>
      <c r="D138" t="s">
        <v>98</v>
      </c>
      <c r="E138" t="s">
        <v>15</v>
      </c>
      <c r="F138">
        <v>14.122</v>
      </c>
      <c r="G138" t="s">
        <v>14</v>
      </c>
    </row>
    <row r="139" spans="1:7" x14ac:dyDescent="0.25">
      <c r="A139">
        <v>12</v>
      </c>
      <c r="B139" t="s">
        <v>143</v>
      </c>
      <c r="C139">
        <v>60</v>
      </c>
      <c r="D139" t="s">
        <v>18</v>
      </c>
      <c r="E139" t="s">
        <v>15</v>
      </c>
      <c r="F139">
        <v>86.852999999999994</v>
      </c>
      <c r="G139" t="s">
        <v>14</v>
      </c>
    </row>
    <row r="140" spans="1:7" x14ac:dyDescent="0.25">
      <c r="A140">
        <v>12</v>
      </c>
      <c r="B140" t="s">
        <v>143</v>
      </c>
      <c r="C140">
        <v>70</v>
      </c>
      <c r="D140" t="s">
        <v>96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143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143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143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143</v>
      </c>
      <c r="C144">
        <v>110</v>
      </c>
      <c r="D144" t="s">
        <v>94</v>
      </c>
      <c r="E144" t="s">
        <v>13</v>
      </c>
      <c r="F144">
        <v>0.51</v>
      </c>
      <c r="G144" t="s">
        <v>14</v>
      </c>
    </row>
    <row r="145" spans="1:7" x14ac:dyDescent="0.25">
      <c r="A145">
        <v>12</v>
      </c>
      <c r="B145" t="s">
        <v>144</v>
      </c>
      <c r="C145">
        <v>120</v>
      </c>
      <c r="D145" t="s">
        <v>146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147</v>
      </c>
      <c r="C146">
        <v>10</v>
      </c>
      <c r="D146" t="s">
        <v>149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147</v>
      </c>
      <c r="C147">
        <v>20</v>
      </c>
      <c r="D147" t="s">
        <v>92</v>
      </c>
      <c r="E147" t="s">
        <v>93</v>
      </c>
      <c r="F147">
        <v>0.48699999999999999</v>
      </c>
      <c r="G147" t="s">
        <v>14</v>
      </c>
    </row>
    <row r="148" spans="1:7" x14ac:dyDescent="0.25">
      <c r="A148">
        <v>13</v>
      </c>
      <c r="B148" t="s">
        <v>147</v>
      </c>
      <c r="C148">
        <v>30</v>
      </c>
      <c r="D148" t="s">
        <v>97</v>
      </c>
      <c r="E148" t="s">
        <v>15</v>
      </c>
      <c r="F148">
        <v>3.4039999999999999</v>
      </c>
      <c r="G148" t="s">
        <v>16</v>
      </c>
    </row>
    <row r="149" spans="1:7" x14ac:dyDescent="0.25">
      <c r="A149">
        <v>13</v>
      </c>
      <c r="B149" t="s">
        <v>147</v>
      </c>
      <c r="C149">
        <v>40</v>
      </c>
      <c r="D149" t="s">
        <v>95</v>
      </c>
      <c r="E149" t="s">
        <v>15</v>
      </c>
      <c r="F149">
        <v>3.4039999999999999</v>
      </c>
      <c r="G149" t="s">
        <v>14</v>
      </c>
    </row>
    <row r="150" spans="1:7" x14ac:dyDescent="0.25">
      <c r="A150">
        <v>13</v>
      </c>
      <c r="B150" t="s">
        <v>147</v>
      </c>
      <c r="C150">
        <v>50</v>
      </c>
      <c r="D150" t="s">
        <v>98</v>
      </c>
      <c r="E150" t="s">
        <v>15</v>
      </c>
      <c r="F150">
        <v>14.731999999999999</v>
      </c>
      <c r="G150" t="s">
        <v>14</v>
      </c>
    </row>
    <row r="151" spans="1:7" x14ac:dyDescent="0.25">
      <c r="A151">
        <v>13</v>
      </c>
      <c r="B151" t="s">
        <v>147</v>
      </c>
      <c r="C151">
        <v>60</v>
      </c>
      <c r="D151" t="s">
        <v>18</v>
      </c>
      <c r="E151" t="s">
        <v>15</v>
      </c>
      <c r="F151">
        <v>90.602000000000004</v>
      </c>
      <c r="G151" t="s">
        <v>14</v>
      </c>
    </row>
    <row r="152" spans="1:7" x14ac:dyDescent="0.25">
      <c r="A152">
        <v>13</v>
      </c>
      <c r="B152" t="s">
        <v>147</v>
      </c>
      <c r="C152">
        <v>70</v>
      </c>
      <c r="D152" t="s">
        <v>96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147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147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147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147</v>
      </c>
      <c r="C156">
        <v>110</v>
      </c>
      <c r="D156" t="s">
        <v>94</v>
      </c>
      <c r="E156" t="s">
        <v>13</v>
      </c>
      <c r="F156">
        <v>0.55500000000000005</v>
      </c>
      <c r="G156" t="s">
        <v>14</v>
      </c>
    </row>
    <row r="157" spans="1:7" x14ac:dyDescent="0.25">
      <c r="A157">
        <v>13</v>
      </c>
      <c r="B157" t="s">
        <v>148</v>
      </c>
      <c r="C157">
        <v>120</v>
      </c>
      <c r="D157" t="s">
        <v>150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151</v>
      </c>
      <c r="C158">
        <v>10</v>
      </c>
      <c r="D158" t="s">
        <v>153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151</v>
      </c>
      <c r="C159">
        <v>20</v>
      </c>
      <c r="D159" t="s">
        <v>92</v>
      </c>
      <c r="E159" t="s">
        <v>93</v>
      </c>
      <c r="F159">
        <v>0.53200000000000003</v>
      </c>
      <c r="G159" t="s">
        <v>14</v>
      </c>
    </row>
    <row r="160" spans="1:7" x14ac:dyDescent="0.25">
      <c r="A160">
        <v>14</v>
      </c>
      <c r="B160" t="s">
        <v>151</v>
      </c>
      <c r="C160">
        <v>30</v>
      </c>
      <c r="D160" t="s">
        <v>97</v>
      </c>
      <c r="E160" t="s">
        <v>15</v>
      </c>
      <c r="F160">
        <v>3.7080000000000002</v>
      </c>
      <c r="G160" t="s">
        <v>16</v>
      </c>
    </row>
    <row r="161" spans="1:7" x14ac:dyDescent="0.25">
      <c r="A161">
        <v>14</v>
      </c>
      <c r="B161" t="s">
        <v>151</v>
      </c>
      <c r="C161">
        <v>40</v>
      </c>
      <c r="D161" t="s">
        <v>95</v>
      </c>
      <c r="E161" t="s">
        <v>15</v>
      </c>
      <c r="F161">
        <v>3.7080000000000002</v>
      </c>
      <c r="G161" t="s">
        <v>14</v>
      </c>
    </row>
    <row r="162" spans="1:7" x14ac:dyDescent="0.25">
      <c r="A162">
        <v>14</v>
      </c>
      <c r="B162" t="s">
        <v>151</v>
      </c>
      <c r="C162">
        <v>50</v>
      </c>
      <c r="D162" t="s">
        <v>98</v>
      </c>
      <c r="E162" t="s">
        <v>15</v>
      </c>
      <c r="F162">
        <v>15.342000000000001</v>
      </c>
      <c r="G162" t="s">
        <v>14</v>
      </c>
    </row>
    <row r="163" spans="1:7" x14ac:dyDescent="0.25">
      <c r="A163">
        <v>14</v>
      </c>
      <c r="B163" t="s">
        <v>151</v>
      </c>
      <c r="C163">
        <v>60</v>
      </c>
      <c r="D163" t="s">
        <v>18</v>
      </c>
      <c r="E163" t="s">
        <v>15</v>
      </c>
      <c r="F163">
        <v>94.350999999999999</v>
      </c>
      <c r="G163" t="s">
        <v>14</v>
      </c>
    </row>
    <row r="164" spans="1:7" x14ac:dyDescent="0.25">
      <c r="A164">
        <v>14</v>
      </c>
      <c r="B164" t="s">
        <v>151</v>
      </c>
      <c r="C164">
        <v>70</v>
      </c>
      <c r="D164" t="s">
        <v>96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151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151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151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151</v>
      </c>
      <c r="C168">
        <v>110</v>
      </c>
      <c r="D168" t="s">
        <v>94</v>
      </c>
      <c r="E168" t="s">
        <v>13</v>
      </c>
      <c r="F168">
        <v>0.60099999999999998</v>
      </c>
      <c r="G168" t="s">
        <v>14</v>
      </c>
    </row>
    <row r="169" spans="1:7" x14ac:dyDescent="0.25">
      <c r="A169">
        <v>14</v>
      </c>
      <c r="B169" t="s">
        <v>152</v>
      </c>
      <c r="C169">
        <v>120</v>
      </c>
      <c r="D169" t="s">
        <v>154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155</v>
      </c>
      <c r="C170">
        <v>10</v>
      </c>
      <c r="D170" t="s">
        <v>157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155</v>
      </c>
      <c r="C171">
        <v>20</v>
      </c>
      <c r="D171" t="s">
        <v>92</v>
      </c>
      <c r="E171" t="s">
        <v>93</v>
      </c>
      <c r="F171">
        <v>0.22600000000000001</v>
      </c>
      <c r="G171" t="s">
        <v>14</v>
      </c>
    </row>
    <row r="172" spans="1:7" x14ac:dyDescent="0.25">
      <c r="A172">
        <v>15</v>
      </c>
      <c r="B172" t="s">
        <v>155</v>
      </c>
      <c r="C172">
        <v>30</v>
      </c>
      <c r="D172" t="s">
        <v>97</v>
      </c>
      <c r="E172" t="s">
        <v>15</v>
      </c>
      <c r="F172">
        <v>1.575</v>
      </c>
      <c r="G172" t="s">
        <v>16</v>
      </c>
    </row>
    <row r="173" spans="1:7" x14ac:dyDescent="0.25">
      <c r="A173">
        <v>15</v>
      </c>
      <c r="B173" t="s">
        <v>155</v>
      </c>
      <c r="C173">
        <v>40</v>
      </c>
      <c r="D173" t="s">
        <v>95</v>
      </c>
      <c r="E173" t="s">
        <v>15</v>
      </c>
      <c r="F173">
        <v>1.575</v>
      </c>
      <c r="G173" t="s">
        <v>14</v>
      </c>
    </row>
    <row r="174" spans="1:7" x14ac:dyDescent="0.25">
      <c r="A174">
        <v>15</v>
      </c>
      <c r="B174" t="s">
        <v>155</v>
      </c>
      <c r="C174">
        <v>50</v>
      </c>
      <c r="D174" t="s">
        <v>98</v>
      </c>
      <c r="E174" t="s">
        <v>15</v>
      </c>
      <c r="F174">
        <v>11.379</v>
      </c>
      <c r="G174" t="s">
        <v>14</v>
      </c>
    </row>
    <row r="175" spans="1:7" x14ac:dyDescent="0.25">
      <c r="A175">
        <v>15</v>
      </c>
      <c r="B175" t="s">
        <v>155</v>
      </c>
      <c r="C175">
        <v>60</v>
      </c>
      <c r="D175" t="s">
        <v>18</v>
      </c>
      <c r="E175" t="s">
        <v>15</v>
      </c>
      <c r="F175">
        <v>69.981999999999999</v>
      </c>
      <c r="G175" t="s">
        <v>14</v>
      </c>
    </row>
    <row r="176" spans="1:7" x14ac:dyDescent="0.25">
      <c r="A176">
        <v>15</v>
      </c>
      <c r="B176" t="s">
        <v>155</v>
      </c>
      <c r="C176">
        <v>70</v>
      </c>
      <c r="D176" t="s">
        <v>96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155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155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155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155</v>
      </c>
      <c r="C180">
        <v>110</v>
      </c>
      <c r="D180" t="s">
        <v>94</v>
      </c>
      <c r="E180" t="s">
        <v>13</v>
      </c>
      <c r="F180">
        <v>0.28499999999999998</v>
      </c>
      <c r="G180" t="s">
        <v>14</v>
      </c>
    </row>
    <row r="181" spans="1:7" x14ac:dyDescent="0.25">
      <c r="A181">
        <v>15</v>
      </c>
      <c r="B181" t="s">
        <v>156</v>
      </c>
      <c r="C181">
        <v>120</v>
      </c>
      <c r="D181" t="s">
        <v>158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159</v>
      </c>
      <c r="C182">
        <v>10</v>
      </c>
      <c r="D182" t="s">
        <v>161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159</v>
      </c>
      <c r="C183">
        <v>20</v>
      </c>
      <c r="D183" t="s">
        <v>92</v>
      </c>
      <c r="E183" t="s">
        <v>93</v>
      </c>
      <c r="F183">
        <v>0.27300000000000002</v>
      </c>
      <c r="G183" t="s">
        <v>14</v>
      </c>
    </row>
    <row r="184" spans="1:7" x14ac:dyDescent="0.25">
      <c r="A184">
        <v>16</v>
      </c>
      <c r="B184" t="s">
        <v>159</v>
      </c>
      <c r="C184">
        <v>30</v>
      </c>
      <c r="D184" t="s">
        <v>97</v>
      </c>
      <c r="E184" t="s">
        <v>15</v>
      </c>
      <c r="F184">
        <v>1.88</v>
      </c>
      <c r="G184" t="s">
        <v>16</v>
      </c>
    </row>
    <row r="185" spans="1:7" x14ac:dyDescent="0.25">
      <c r="A185">
        <v>16</v>
      </c>
      <c r="B185" t="s">
        <v>159</v>
      </c>
      <c r="C185">
        <v>40</v>
      </c>
      <c r="D185" t="s">
        <v>95</v>
      </c>
      <c r="E185" t="s">
        <v>15</v>
      </c>
      <c r="F185">
        <v>1.88</v>
      </c>
      <c r="G185" t="s">
        <v>14</v>
      </c>
    </row>
    <row r="186" spans="1:7" x14ac:dyDescent="0.25">
      <c r="A186">
        <v>16</v>
      </c>
      <c r="B186" t="s">
        <v>159</v>
      </c>
      <c r="C186">
        <v>50</v>
      </c>
      <c r="D186" t="s">
        <v>98</v>
      </c>
      <c r="E186" t="s">
        <v>15</v>
      </c>
      <c r="F186">
        <v>11.989000000000001</v>
      </c>
      <c r="G186" t="s">
        <v>14</v>
      </c>
    </row>
    <row r="187" spans="1:7" x14ac:dyDescent="0.25">
      <c r="A187">
        <v>16</v>
      </c>
      <c r="B187" t="s">
        <v>159</v>
      </c>
      <c r="C187">
        <v>60</v>
      </c>
      <c r="D187" t="s">
        <v>18</v>
      </c>
      <c r="E187" t="s">
        <v>15</v>
      </c>
      <c r="F187">
        <v>73.730999999999995</v>
      </c>
      <c r="G187" t="s">
        <v>14</v>
      </c>
    </row>
    <row r="188" spans="1:7" x14ac:dyDescent="0.25">
      <c r="A188">
        <v>16</v>
      </c>
      <c r="B188" t="s">
        <v>159</v>
      </c>
      <c r="C188">
        <v>70</v>
      </c>
      <c r="D188" t="s">
        <v>96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159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159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159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159</v>
      </c>
      <c r="C192">
        <v>110</v>
      </c>
      <c r="D192" t="s">
        <v>94</v>
      </c>
      <c r="E192" t="s">
        <v>13</v>
      </c>
      <c r="F192">
        <v>0.33</v>
      </c>
      <c r="G192" t="s">
        <v>14</v>
      </c>
    </row>
    <row r="193" spans="1:7" x14ac:dyDescent="0.25">
      <c r="A193">
        <v>16</v>
      </c>
      <c r="B193" t="s">
        <v>160</v>
      </c>
      <c r="C193">
        <v>120</v>
      </c>
      <c r="D193" t="s">
        <v>162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163</v>
      </c>
      <c r="C194">
        <v>10</v>
      </c>
      <c r="D194" t="s">
        <v>165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163</v>
      </c>
      <c r="C195">
        <v>20</v>
      </c>
      <c r="D195" t="s">
        <v>92</v>
      </c>
      <c r="E195" t="s">
        <v>93</v>
      </c>
      <c r="F195">
        <v>0.32</v>
      </c>
      <c r="G195" t="s">
        <v>14</v>
      </c>
    </row>
    <row r="196" spans="1:7" x14ac:dyDescent="0.25">
      <c r="A196">
        <v>17</v>
      </c>
      <c r="B196" t="s">
        <v>163</v>
      </c>
      <c r="C196">
        <v>30</v>
      </c>
      <c r="D196" t="s">
        <v>97</v>
      </c>
      <c r="E196" t="s">
        <v>15</v>
      </c>
      <c r="F196">
        <v>2.1840000000000002</v>
      </c>
      <c r="G196" t="s">
        <v>16</v>
      </c>
    </row>
    <row r="197" spans="1:7" x14ac:dyDescent="0.25">
      <c r="A197">
        <v>17</v>
      </c>
      <c r="B197" t="s">
        <v>163</v>
      </c>
      <c r="C197">
        <v>40</v>
      </c>
      <c r="D197" t="s">
        <v>95</v>
      </c>
      <c r="E197" t="s">
        <v>15</v>
      </c>
      <c r="F197">
        <v>2.1840000000000002</v>
      </c>
      <c r="G197" t="s">
        <v>14</v>
      </c>
    </row>
    <row r="198" spans="1:7" x14ac:dyDescent="0.25">
      <c r="A198">
        <v>17</v>
      </c>
      <c r="B198" t="s">
        <v>163</v>
      </c>
      <c r="C198">
        <v>50</v>
      </c>
      <c r="D198" t="s">
        <v>98</v>
      </c>
      <c r="E198" t="s">
        <v>15</v>
      </c>
      <c r="F198">
        <v>12.598000000000001</v>
      </c>
      <c r="G198" t="s">
        <v>14</v>
      </c>
    </row>
    <row r="199" spans="1:7" x14ac:dyDescent="0.25">
      <c r="A199">
        <v>17</v>
      </c>
      <c r="B199" t="s">
        <v>163</v>
      </c>
      <c r="C199">
        <v>60</v>
      </c>
      <c r="D199" t="s">
        <v>18</v>
      </c>
      <c r="E199" t="s">
        <v>15</v>
      </c>
      <c r="F199">
        <v>77.48</v>
      </c>
      <c r="G199" t="s">
        <v>14</v>
      </c>
    </row>
    <row r="200" spans="1:7" x14ac:dyDescent="0.25">
      <c r="A200">
        <v>17</v>
      </c>
      <c r="B200" t="s">
        <v>163</v>
      </c>
      <c r="C200">
        <v>70</v>
      </c>
      <c r="D200" t="s">
        <v>96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163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163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163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163</v>
      </c>
      <c r="C204">
        <v>110</v>
      </c>
      <c r="D204" t="s">
        <v>94</v>
      </c>
      <c r="E204" t="s">
        <v>13</v>
      </c>
      <c r="F204">
        <v>0.375</v>
      </c>
      <c r="G204" t="s">
        <v>14</v>
      </c>
    </row>
    <row r="205" spans="1:7" x14ac:dyDescent="0.25">
      <c r="A205">
        <v>17</v>
      </c>
      <c r="B205" t="s">
        <v>164</v>
      </c>
      <c r="C205">
        <v>120</v>
      </c>
      <c r="D205" t="s">
        <v>166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167</v>
      </c>
      <c r="C206">
        <v>10</v>
      </c>
      <c r="D206" t="s">
        <v>169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167</v>
      </c>
      <c r="C207">
        <v>20</v>
      </c>
      <c r="D207" t="s">
        <v>92</v>
      </c>
      <c r="E207" t="s">
        <v>93</v>
      </c>
      <c r="F207">
        <v>0.36599999999999999</v>
      </c>
      <c r="G207" t="s">
        <v>14</v>
      </c>
    </row>
    <row r="208" spans="1:7" x14ac:dyDescent="0.25">
      <c r="A208">
        <v>18</v>
      </c>
      <c r="B208" t="s">
        <v>167</v>
      </c>
      <c r="C208">
        <v>30</v>
      </c>
      <c r="D208" t="s">
        <v>97</v>
      </c>
      <c r="E208" t="s">
        <v>15</v>
      </c>
      <c r="F208">
        <v>2.4889999999999999</v>
      </c>
      <c r="G208" t="s">
        <v>16</v>
      </c>
    </row>
    <row r="209" spans="1:7" x14ac:dyDescent="0.25">
      <c r="A209">
        <v>18</v>
      </c>
      <c r="B209" t="s">
        <v>167</v>
      </c>
      <c r="C209">
        <v>40</v>
      </c>
      <c r="D209" t="s">
        <v>95</v>
      </c>
      <c r="E209" t="s">
        <v>15</v>
      </c>
      <c r="F209">
        <v>2.4889999999999999</v>
      </c>
      <c r="G209" t="s">
        <v>14</v>
      </c>
    </row>
    <row r="210" spans="1:7" x14ac:dyDescent="0.25">
      <c r="A210">
        <v>18</v>
      </c>
      <c r="B210" t="s">
        <v>167</v>
      </c>
      <c r="C210">
        <v>50</v>
      </c>
      <c r="D210" t="s">
        <v>98</v>
      </c>
      <c r="E210" t="s">
        <v>15</v>
      </c>
      <c r="F210">
        <v>13.208</v>
      </c>
      <c r="G210" t="s">
        <v>14</v>
      </c>
    </row>
    <row r="211" spans="1:7" x14ac:dyDescent="0.25">
      <c r="A211">
        <v>18</v>
      </c>
      <c r="B211" t="s">
        <v>167</v>
      </c>
      <c r="C211">
        <v>60</v>
      </c>
      <c r="D211" t="s">
        <v>18</v>
      </c>
      <c r="E211" t="s">
        <v>15</v>
      </c>
      <c r="F211">
        <v>81.228999999999999</v>
      </c>
      <c r="G211" t="s">
        <v>14</v>
      </c>
    </row>
    <row r="212" spans="1:7" x14ac:dyDescent="0.25">
      <c r="A212">
        <v>18</v>
      </c>
      <c r="B212" t="s">
        <v>167</v>
      </c>
      <c r="C212">
        <v>70</v>
      </c>
      <c r="D212" t="s">
        <v>96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167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167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167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167</v>
      </c>
      <c r="C216">
        <v>110</v>
      </c>
      <c r="D216" t="s">
        <v>94</v>
      </c>
      <c r="E216" t="s">
        <v>13</v>
      </c>
      <c r="F216">
        <v>0.42</v>
      </c>
      <c r="G216" t="s">
        <v>14</v>
      </c>
    </row>
    <row r="217" spans="1:7" x14ac:dyDescent="0.25">
      <c r="A217">
        <v>18</v>
      </c>
      <c r="B217" t="s">
        <v>168</v>
      </c>
      <c r="C217">
        <v>120</v>
      </c>
      <c r="D217" t="s">
        <v>170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171</v>
      </c>
      <c r="C218">
        <v>10</v>
      </c>
      <c r="D218" t="s">
        <v>173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171</v>
      </c>
      <c r="C219">
        <v>20</v>
      </c>
      <c r="D219" t="s">
        <v>92</v>
      </c>
      <c r="E219" t="s">
        <v>93</v>
      </c>
      <c r="F219">
        <v>0.46</v>
      </c>
      <c r="G219" t="s">
        <v>14</v>
      </c>
    </row>
    <row r="220" spans="1:7" x14ac:dyDescent="0.25">
      <c r="A220">
        <v>19</v>
      </c>
      <c r="B220" t="s">
        <v>171</v>
      </c>
      <c r="C220">
        <v>30</v>
      </c>
      <c r="D220" t="s">
        <v>97</v>
      </c>
      <c r="E220" t="s">
        <v>15</v>
      </c>
      <c r="F220">
        <v>3.0990000000000002</v>
      </c>
      <c r="G220" t="s">
        <v>16</v>
      </c>
    </row>
    <row r="221" spans="1:7" x14ac:dyDescent="0.25">
      <c r="A221">
        <v>19</v>
      </c>
      <c r="B221" t="s">
        <v>171</v>
      </c>
      <c r="C221">
        <v>40</v>
      </c>
      <c r="D221" t="s">
        <v>95</v>
      </c>
      <c r="E221" t="s">
        <v>15</v>
      </c>
      <c r="F221">
        <v>3.0990000000000002</v>
      </c>
      <c r="G221" t="s">
        <v>14</v>
      </c>
    </row>
    <row r="222" spans="1:7" x14ac:dyDescent="0.25">
      <c r="A222">
        <v>19</v>
      </c>
      <c r="B222" t="s">
        <v>171</v>
      </c>
      <c r="C222">
        <v>50</v>
      </c>
      <c r="D222" t="s">
        <v>98</v>
      </c>
      <c r="E222" t="s">
        <v>15</v>
      </c>
      <c r="F222">
        <v>14.427</v>
      </c>
      <c r="G222" t="s">
        <v>14</v>
      </c>
    </row>
    <row r="223" spans="1:7" x14ac:dyDescent="0.25">
      <c r="A223">
        <v>19</v>
      </c>
      <c r="B223" t="s">
        <v>171</v>
      </c>
      <c r="C223">
        <v>60</v>
      </c>
      <c r="D223" t="s">
        <v>18</v>
      </c>
      <c r="E223" t="s">
        <v>15</v>
      </c>
      <c r="F223">
        <v>88.727000000000004</v>
      </c>
      <c r="G223" t="s">
        <v>14</v>
      </c>
    </row>
    <row r="224" spans="1:7" x14ac:dyDescent="0.25">
      <c r="A224">
        <v>19</v>
      </c>
      <c r="B224" t="s">
        <v>171</v>
      </c>
      <c r="C224">
        <v>70</v>
      </c>
      <c r="D224" t="s">
        <v>96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171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171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171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171</v>
      </c>
      <c r="C228">
        <v>110</v>
      </c>
      <c r="D228" t="s">
        <v>94</v>
      </c>
      <c r="E228" t="s">
        <v>13</v>
      </c>
      <c r="F228">
        <v>0.51</v>
      </c>
      <c r="G228" t="s">
        <v>14</v>
      </c>
    </row>
    <row r="229" spans="1:7" x14ac:dyDescent="0.25">
      <c r="A229">
        <v>19</v>
      </c>
      <c r="B229" t="s">
        <v>172</v>
      </c>
      <c r="C229">
        <v>120</v>
      </c>
      <c r="D229" t="s">
        <v>174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175</v>
      </c>
      <c r="C230">
        <v>10</v>
      </c>
      <c r="D230" t="s">
        <v>177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175</v>
      </c>
      <c r="C231">
        <v>20</v>
      </c>
      <c r="D231" t="s">
        <v>92</v>
      </c>
      <c r="E231" t="s">
        <v>93</v>
      </c>
      <c r="F231">
        <v>0.50700000000000001</v>
      </c>
      <c r="G231" t="s">
        <v>14</v>
      </c>
    </row>
    <row r="232" spans="1:7" x14ac:dyDescent="0.25">
      <c r="A232">
        <v>20</v>
      </c>
      <c r="B232" t="s">
        <v>175</v>
      </c>
      <c r="C232">
        <v>30</v>
      </c>
      <c r="D232" t="s">
        <v>97</v>
      </c>
      <c r="E232" t="s">
        <v>15</v>
      </c>
      <c r="F232">
        <v>3.4039999999999999</v>
      </c>
      <c r="G232" t="s">
        <v>16</v>
      </c>
    </row>
    <row r="233" spans="1:7" x14ac:dyDescent="0.25">
      <c r="A233">
        <v>20</v>
      </c>
      <c r="B233" t="s">
        <v>175</v>
      </c>
      <c r="C233">
        <v>40</v>
      </c>
      <c r="D233" t="s">
        <v>95</v>
      </c>
      <c r="E233" t="s">
        <v>15</v>
      </c>
      <c r="F233">
        <v>3.4039999999999999</v>
      </c>
      <c r="G233" t="s">
        <v>14</v>
      </c>
    </row>
    <row r="234" spans="1:7" x14ac:dyDescent="0.25">
      <c r="A234">
        <v>20</v>
      </c>
      <c r="B234" t="s">
        <v>175</v>
      </c>
      <c r="C234">
        <v>50</v>
      </c>
      <c r="D234" t="s">
        <v>98</v>
      </c>
      <c r="E234" t="s">
        <v>15</v>
      </c>
      <c r="F234">
        <v>15.037000000000001</v>
      </c>
      <c r="G234" t="s">
        <v>14</v>
      </c>
    </row>
    <row r="235" spans="1:7" x14ac:dyDescent="0.25">
      <c r="A235">
        <v>20</v>
      </c>
      <c r="B235" t="s">
        <v>175</v>
      </c>
      <c r="C235">
        <v>60</v>
      </c>
      <c r="D235" t="s">
        <v>18</v>
      </c>
      <c r="E235" t="s">
        <v>15</v>
      </c>
      <c r="F235">
        <v>92.475999999999999</v>
      </c>
      <c r="G235" t="s">
        <v>14</v>
      </c>
    </row>
    <row r="236" spans="1:7" x14ac:dyDescent="0.25">
      <c r="A236">
        <v>20</v>
      </c>
      <c r="B236" t="s">
        <v>175</v>
      </c>
      <c r="C236">
        <v>70</v>
      </c>
      <c r="D236" t="s">
        <v>96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175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175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175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175</v>
      </c>
      <c r="C240">
        <v>110</v>
      </c>
      <c r="D240" t="s">
        <v>94</v>
      </c>
      <c r="E240" t="s">
        <v>13</v>
      </c>
      <c r="F240">
        <v>0.55500000000000005</v>
      </c>
      <c r="G240" t="s">
        <v>14</v>
      </c>
    </row>
    <row r="241" spans="1:7" x14ac:dyDescent="0.25">
      <c r="A241">
        <v>20</v>
      </c>
      <c r="B241" t="s">
        <v>176</v>
      </c>
      <c r="C241">
        <v>120</v>
      </c>
      <c r="D241" t="s">
        <v>178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179</v>
      </c>
      <c r="C242">
        <v>10</v>
      </c>
      <c r="D242" t="s">
        <v>181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179</v>
      </c>
      <c r="C243">
        <v>20</v>
      </c>
      <c r="D243" t="s">
        <v>92</v>
      </c>
      <c r="E243" t="s">
        <v>93</v>
      </c>
      <c r="F243">
        <v>0.55400000000000005</v>
      </c>
      <c r="G243" t="s">
        <v>14</v>
      </c>
    </row>
    <row r="244" spans="1:7" x14ac:dyDescent="0.25">
      <c r="A244">
        <v>21</v>
      </c>
      <c r="B244" t="s">
        <v>179</v>
      </c>
      <c r="C244">
        <v>30</v>
      </c>
      <c r="D244" t="s">
        <v>97</v>
      </c>
      <c r="E244" t="s">
        <v>15</v>
      </c>
      <c r="F244">
        <v>3.7080000000000002</v>
      </c>
      <c r="G244" t="s">
        <v>16</v>
      </c>
    </row>
    <row r="245" spans="1:7" x14ac:dyDescent="0.25">
      <c r="A245">
        <v>21</v>
      </c>
      <c r="B245" t="s">
        <v>179</v>
      </c>
      <c r="C245">
        <v>40</v>
      </c>
      <c r="D245" t="s">
        <v>95</v>
      </c>
      <c r="E245" t="s">
        <v>15</v>
      </c>
      <c r="F245">
        <v>3.7080000000000002</v>
      </c>
      <c r="G245" t="s">
        <v>14</v>
      </c>
    </row>
    <row r="246" spans="1:7" x14ac:dyDescent="0.25">
      <c r="A246">
        <v>21</v>
      </c>
      <c r="B246" t="s">
        <v>179</v>
      </c>
      <c r="C246">
        <v>50</v>
      </c>
      <c r="D246" t="s">
        <v>98</v>
      </c>
      <c r="E246" t="s">
        <v>15</v>
      </c>
      <c r="F246">
        <v>15.646000000000001</v>
      </c>
      <c r="G246" t="s">
        <v>14</v>
      </c>
    </row>
    <row r="247" spans="1:7" x14ac:dyDescent="0.25">
      <c r="A247">
        <v>21</v>
      </c>
      <c r="B247" t="s">
        <v>179</v>
      </c>
      <c r="C247">
        <v>60</v>
      </c>
      <c r="D247" t="s">
        <v>18</v>
      </c>
      <c r="E247" t="s">
        <v>15</v>
      </c>
      <c r="F247">
        <v>96.224999999999994</v>
      </c>
      <c r="G247" t="s">
        <v>14</v>
      </c>
    </row>
    <row r="248" spans="1:7" x14ac:dyDescent="0.25">
      <c r="A248">
        <v>21</v>
      </c>
      <c r="B248" t="s">
        <v>179</v>
      </c>
      <c r="C248">
        <v>70</v>
      </c>
      <c r="D248" t="s">
        <v>96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179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179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179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179</v>
      </c>
      <c r="C252">
        <v>110</v>
      </c>
      <c r="D252" t="s">
        <v>94</v>
      </c>
      <c r="E252" t="s">
        <v>13</v>
      </c>
      <c r="F252">
        <v>0.60099999999999998</v>
      </c>
      <c r="G252" t="s">
        <v>14</v>
      </c>
    </row>
    <row r="253" spans="1:7" x14ac:dyDescent="0.25">
      <c r="A253">
        <v>21</v>
      </c>
      <c r="B253" t="s">
        <v>180</v>
      </c>
      <c r="C253">
        <v>120</v>
      </c>
      <c r="D253" t="s">
        <v>182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183</v>
      </c>
      <c r="C254">
        <v>10</v>
      </c>
      <c r="D254" t="s">
        <v>185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183</v>
      </c>
      <c r="C255">
        <v>20</v>
      </c>
      <c r="D255" t="s">
        <v>92</v>
      </c>
      <c r="E255" t="s">
        <v>93</v>
      </c>
      <c r="F255">
        <v>0.23200000000000001</v>
      </c>
      <c r="G255" t="s">
        <v>14</v>
      </c>
    </row>
    <row r="256" spans="1:7" x14ac:dyDescent="0.25">
      <c r="A256">
        <v>22</v>
      </c>
      <c r="B256" t="s">
        <v>183</v>
      </c>
      <c r="C256">
        <v>30</v>
      </c>
      <c r="D256" t="s">
        <v>97</v>
      </c>
      <c r="E256" t="s">
        <v>15</v>
      </c>
      <c r="F256">
        <v>2.0569999999999999</v>
      </c>
      <c r="G256" t="s">
        <v>16</v>
      </c>
    </row>
    <row r="257" spans="1:7" x14ac:dyDescent="0.25">
      <c r="A257">
        <v>22</v>
      </c>
      <c r="B257" t="s">
        <v>183</v>
      </c>
      <c r="C257">
        <v>40</v>
      </c>
      <c r="D257" t="s">
        <v>95</v>
      </c>
      <c r="E257" t="s">
        <v>15</v>
      </c>
      <c r="F257">
        <v>2.0569999999999999</v>
      </c>
      <c r="G257" t="s">
        <v>14</v>
      </c>
    </row>
    <row r="258" spans="1:7" x14ac:dyDescent="0.25">
      <c r="A258">
        <v>22</v>
      </c>
      <c r="B258" t="s">
        <v>183</v>
      </c>
      <c r="C258">
        <v>50</v>
      </c>
      <c r="D258" t="s">
        <v>98</v>
      </c>
      <c r="E258" t="s">
        <v>15</v>
      </c>
      <c r="F258">
        <v>11.582000000000001</v>
      </c>
      <c r="G258" t="s">
        <v>14</v>
      </c>
    </row>
    <row r="259" spans="1:7" x14ac:dyDescent="0.25">
      <c r="A259">
        <v>22</v>
      </c>
      <c r="B259" t="s">
        <v>183</v>
      </c>
      <c r="C259">
        <v>60</v>
      </c>
      <c r="D259" t="s">
        <v>18</v>
      </c>
      <c r="E259" t="s">
        <v>15</v>
      </c>
      <c r="F259">
        <v>71.231999999999999</v>
      </c>
      <c r="G259" t="s">
        <v>14</v>
      </c>
    </row>
    <row r="260" spans="1:7" x14ac:dyDescent="0.25">
      <c r="A260">
        <v>22</v>
      </c>
      <c r="B260" t="s">
        <v>183</v>
      </c>
      <c r="C260">
        <v>70</v>
      </c>
      <c r="D260" t="s">
        <v>96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183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183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183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183</v>
      </c>
      <c r="C264">
        <v>110</v>
      </c>
      <c r="D264" t="s">
        <v>94</v>
      </c>
      <c r="E264" t="s">
        <v>13</v>
      </c>
      <c r="F264">
        <v>0.66100000000000003</v>
      </c>
      <c r="G264" t="s">
        <v>14</v>
      </c>
    </row>
    <row r="265" spans="1:7" x14ac:dyDescent="0.25">
      <c r="A265">
        <v>22</v>
      </c>
      <c r="B265" t="s">
        <v>184</v>
      </c>
      <c r="C265">
        <v>120</v>
      </c>
      <c r="D265" t="s">
        <v>186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187</v>
      </c>
      <c r="C266">
        <v>10</v>
      </c>
      <c r="D266" t="s">
        <v>189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187</v>
      </c>
      <c r="C267">
        <v>20</v>
      </c>
      <c r="D267" t="s">
        <v>92</v>
      </c>
      <c r="E267" t="s">
        <v>93</v>
      </c>
      <c r="F267">
        <v>0.28000000000000003</v>
      </c>
      <c r="G267" t="s">
        <v>14</v>
      </c>
    </row>
    <row r="268" spans="1:7" x14ac:dyDescent="0.25">
      <c r="A268">
        <v>23</v>
      </c>
      <c r="B268" t="s">
        <v>187</v>
      </c>
      <c r="C268">
        <v>30</v>
      </c>
      <c r="D268" t="s">
        <v>97</v>
      </c>
      <c r="E268" t="s">
        <v>15</v>
      </c>
      <c r="F268">
        <v>2.0569999999999999</v>
      </c>
      <c r="G268" t="s">
        <v>16</v>
      </c>
    </row>
    <row r="269" spans="1:7" x14ac:dyDescent="0.25">
      <c r="A269">
        <v>23</v>
      </c>
      <c r="B269" t="s">
        <v>187</v>
      </c>
      <c r="C269">
        <v>40</v>
      </c>
      <c r="D269" t="s">
        <v>95</v>
      </c>
      <c r="E269" t="s">
        <v>15</v>
      </c>
      <c r="F269">
        <v>2.0569999999999999</v>
      </c>
      <c r="G269" t="s">
        <v>14</v>
      </c>
    </row>
    <row r="270" spans="1:7" x14ac:dyDescent="0.25">
      <c r="A270">
        <v>23</v>
      </c>
      <c r="B270" t="s">
        <v>187</v>
      </c>
      <c r="C270">
        <v>50</v>
      </c>
      <c r="D270" t="s">
        <v>98</v>
      </c>
      <c r="E270" t="s">
        <v>15</v>
      </c>
      <c r="F270">
        <v>12.192</v>
      </c>
      <c r="G270" t="s">
        <v>14</v>
      </c>
    </row>
    <row r="271" spans="1:7" x14ac:dyDescent="0.25">
      <c r="A271">
        <v>23</v>
      </c>
      <c r="B271" t="s">
        <v>187</v>
      </c>
      <c r="C271">
        <v>60</v>
      </c>
      <c r="D271" t="s">
        <v>18</v>
      </c>
      <c r="E271" t="s">
        <v>15</v>
      </c>
      <c r="F271">
        <v>74.980999999999995</v>
      </c>
      <c r="G271" t="s">
        <v>14</v>
      </c>
    </row>
    <row r="272" spans="1:7" x14ac:dyDescent="0.25">
      <c r="A272">
        <v>23</v>
      </c>
      <c r="B272" t="s">
        <v>187</v>
      </c>
      <c r="C272">
        <v>70</v>
      </c>
      <c r="D272" t="s">
        <v>96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187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187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187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187</v>
      </c>
      <c r="C276">
        <v>110</v>
      </c>
      <c r="D276" t="s">
        <v>94</v>
      </c>
      <c r="E276" t="s">
        <v>13</v>
      </c>
      <c r="F276">
        <v>0.66100000000000003</v>
      </c>
      <c r="G276" t="s">
        <v>14</v>
      </c>
    </row>
    <row r="277" spans="1:7" x14ac:dyDescent="0.25">
      <c r="A277">
        <v>23</v>
      </c>
      <c r="B277" t="s">
        <v>188</v>
      </c>
      <c r="C277">
        <v>120</v>
      </c>
      <c r="D277" t="s">
        <v>190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191</v>
      </c>
      <c r="C278">
        <v>10</v>
      </c>
      <c r="D278" t="s">
        <v>193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191</v>
      </c>
      <c r="C279">
        <v>20</v>
      </c>
      <c r="D279" t="s">
        <v>92</v>
      </c>
      <c r="E279" t="s">
        <v>93</v>
      </c>
      <c r="F279">
        <v>0.32800000000000001</v>
      </c>
      <c r="G279" t="s">
        <v>14</v>
      </c>
    </row>
    <row r="280" spans="1:7" x14ac:dyDescent="0.25">
      <c r="A280">
        <v>24</v>
      </c>
      <c r="B280" t="s">
        <v>191</v>
      </c>
      <c r="C280">
        <v>30</v>
      </c>
      <c r="D280" t="s">
        <v>97</v>
      </c>
      <c r="E280" t="s">
        <v>15</v>
      </c>
      <c r="F280">
        <v>4.1150000000000002</v>
      </c>
      <c r="G280" t="s">
        <v>16</v>
      </c>
    </row>
    <row r="281" spans="1:7" x14ac:dyDescent="0.25">
      <c r="A281">
        <v>24</v>
      </c>
      <c r="B281" t="s">
        <v>191</v>
      </c>
      <c r="C281">
        <v>40</v>
      </c>
      <c r="D281" t="s">
        <v>95</v>
      </c>
      <c r="E281" t="s">
        <v>15</v>
      </c>
      <c r="F281">
        <v>4.1150000000000002</v>
      </c>
      <c r="G281" t="s">
        <v>14</v>
      </c>
    </row>
    <row r="282" spans="1:7" x14ac:dyDescent="0.25">
      <c r="A282">
        <v>24</v>
      </c>
      <c r="B282" t="s">
        <v>191</v>
      </c>
      <c r="C282">
        <v>50</v>
      </c>
      <c r="D282" t="s">
        <v>98</v>
      </c>
      <c r="E282" t="s">
        <v>15</v>
      </c>
      <c r="F282">
        <v>12.802</v>
      </c>
      <c r="G282" t="s">
        <v>14</v>
      </c>
    </row>
    <row r="283" spans="1:7" x14ac:dyDescent="0.25">
      <c r="A283">
        <v>24</v>
      </c>
      <c r="B283" t="s">
        <v>191</v>
      </c>
      <c r="C283">
        <v>60</v>
      </c>
      <c r="D283" t="s">
        <v>18</v>
      </c>
      <c r="E283" t="s">
        <v>15</v>
      </c>
      <c r="F283">
        <v>78.73</v>
      </c>
      <c r="G283" t="s">
        <v>14</v>
      </c>
    </row>
    <row r="284" spans="1:7" x14ac:dyDescent="0.25">
      <c r="A284">
        <v>24</v>
      </c>
      <c r="B284" t="s">
        <v>191</v>
      </c>
      <c r="C284">
        <v>70</v>
      </c>
      <c r="D284" t="s">
        <v>96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191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191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191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191</v>
      </c>
      <c r="C288">
        <v>110</v>
      </c>
      <c r="D288" t="s">
        <v>94</v>
      </c>
      <c r="E288" t="s">
        <v>13</v>
      </c>
      <c r="F288">
        <v>0.66100000000000003</v>
      </c>
      <c r="G288" t="s">
        <v>14</v>
      </c>
    </row>
    <row r="289" spans="1:7" x14ac:dyDescent="0.25">
      <c r="A289">
        <v>24</v>
      </c>
      <c r="B289" t="s">
        <v>192</v>
      </c>
      <c r="C289">
        <v>120</v>
      </c>
      <c r="D289" t="s">
        <v>194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195</v>
      </c>
      <c r="C290">
        <v>10</v>
      </c>
      <c r="D290" t="s">
        <v>197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195</v>
      </c>
      <c r="C291">
        <v>20</v>
      </c>
      <c r="D291" t="s">
        <v>92</v>
      </c>
      <c r="E291" t="s">
        <v>93</v>
      </c>
      <c r="F291">
        <v>0.376</v>
      </c>
      <c r="G291" t="s">
        <v>14</v>
      </c>
    </row>
    <row r="292" spans="1:7" x14ac:dyDescent="0.25">
      <c r="A292">
        <v>25</v>
      </c>
      <c r="B292" t="s">
        <v>195</v>
      </c>
      <c r="C292">
        <v>30</v>
      </c>
      <c r="D292" t="s">
        <v>97</v>
      </c>
      <c r="E292" t="s">
        <v>15</v>
      </c>
      <c r="F292">
        <v>4.1150000000000002</v>
      </c>
      <c r="G292" t="s">
        <v>16</v>
      </c>
    </row>
    <row r="293" spans="1:7" x14ac:dyDescent="0.25">
      <c r="A293">
        <v>25</v>
      </c>
      <c r="B293" t="s">
        <v>195</v>
      </c>
      <c r="C293">
        <v>40</v>
      </c>
      <c r="D293" t="s">
        <v>95</v>
      </c>
      <c r="E293" t="s">
        <v>15</v>
      </c>
      <c r="F293">
        <v>4.1150000000000002</v>
      </c>
      <c r="G293" t="s">
        <v>14</v>
      </c>
    </row>
    <row r="294" spans="1:7" x14ac:dyDescent="0.25">
      <c r="A294">
        <v>25</v>
      </c>
      <c r="B294" t="s">
        <v>195</v>
      </c>
      <c r="C294">
        <v>50</v>
      </c>
      <c r="D294" t="s">
        <v>98</v>
      </c>
      <c r="E294" t="s">
        <v>15</v>
      </c>
      <c r="F294">
        <v>13.411</v>
      </c>
      <c r="G294" t="s">
        <v>14</v>
      </c>
    </row>
    <row r="295" spans="1:7" x14ac:dyDescent="0.25">
      <c r="A295">
        <v>25</v>
      </c>
      <c r="B295" t="s">
        <v>195</v>
      </c>
      <c r="C295">
        <v>60</v>
      </c>
      <c r="D295" t="s">
        <v>18</v>
      </c>
      <c r="E295" t="s">
        <v>15</v>
      </c>
      <c r="F295">
        <v>82.478999999999999</v>
      </c>
      <c r="G295" t="s">
        <v>14</v>
      </c>
    </row>
    <row r="296" spans="1:7" x14ac:dyDescent="0.25">
      <c r="A296">
        <v>25</v>
      </c>
      <c r="B296" t="s">
        <v>195</v>
      </c>
      <c r="C296">
        <v>70</v>
      </c>
      <c r="D296" t="s">
        <v>96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195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195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195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195</v>
      </c>
      <c r="C300">
        <v>110</v>
      </c>
      <c r="D300" t="s">
        <v>94</v>
      </c>
      <c r="E300" t="s">
        <v>13</v>
      </c>
      <c r="F300">
        <v>0.66100000000000003</v>
      </c>
      <c r="G300" t="s">
        <v>14</v>
      </c>
    </row>
    <row r="301" spans="1:7" x14ac:dyDescent="0.25">
      <c r="A301">
        <v>25</v>
      </c>
      <c r="B301" t="s">
        <v>196</v>
      </c>
      <c r="C301">
        <v>120</v>
      </c>
      <c r="D301" t="s">
        <v>198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199</v>
      </c>
      <c r="C302">
        <v>10</v>
      </c>
      <c r="D302" t="s">
        <v>201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199</v>
      </c>
      <c r="C303">
        <v>20</v>
      </c>
      <c r="D303" t="s">
        <v>92</v>
      </c>
      <c r="E303" t="s">
        <v>93</v>
      </c>
      <c r="F303">
        <v>0.47199999999999998</v>
      </c>
      <c r="G303" t="s">
        <v>14</v>
      </c>
    </row>
    <row r="304" spans="1:7" x14ac:dyDescent="0.25">
      <c r="A304">
        <v>26</v>
      </c>
      <c r="B304" t="s">
        <v>199</v>
      </c>
      <c r="C304">
        <v>30</v>
      </c>
      <c r="D304" t="s">
        <v>97</v>
      </c>
      <c r="E304" t="s">
        <v>15</v>
      </c>
      <c r="F304">
        <v>4.1150000000000002</v>
      </c>
      <c r="G304" t="s">
        <v>16</v>
      </c>
    </row>
    <row r="305" spans="1:7" x14ac:dyDescent="0.25">
      <c r="A305">
        <v>26</v>
      </c>
      <c r="B305" t="s">
        <v>199</v>
      </c>
      <c r="C305">
        <v>40</v>
      </c>
      <c r="D305" t="s">
        <v>95</v>
      </c>
      <c r="E305" t="s">
        <v>15</v>
      </c>
      <c r="F305">
        <v>4.1150000000000002</v>
      </c>
      <c r="G305" t="s">
        <v>14</v>
      </c>
    </row>
    <row r="306" spans="1:7" x14ac:dyDescent="0.25">
      <c r="A306">
        <v>26</v>
      </c>
      <c r="B306" t="s">
        <v>199</v>
      </c>
      <c r="C306">
        <v>50</v>
      </c>
      <c r="D306" t="s">
        <v>98</v>
      </c>
      <c r="E306" t="s">
        <v>15</v>
      </c>
      <c r="F306">
        <v>14.63</v>
      </c>
      <c r="G306" t="s">
        <v>14</v>
      </c>
    </row>
    <row r="307" spans="1:7" x14ac:dyDescent="0.25">
      <c r="A307">
        <v>26</v>
      </c>
      <c r="B307" t="s">
        <v>199</v>
      </c>
      <c r="C307">
        <v>60</v>
      </c>
      <c r="D307" t="s">
        <v>18</v>
      </c>
      <c r="E307" t="s">
        <v>15</v>
      </c>
      <c r="F307">
        <v>89.977000000000004</v>
      </c>
      <c r="G307" t="s">
        <v>14</v>
      </c>
    </row>
    <row r="308" spans="1:7" x14ac:dyDescent="0.25">
      <c r="A308">
        <v>26</v>
      </c>
      <c r="B308" t="s">
        <v>199</v>
      </c>
      <c r="C308">
        <v>70</v>
      </c>
      <c r="D308" t="s">
        <v>96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199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199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199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199</v>
      </c>
      <c r="C312">
        <v>110</v>
      </c>
      <c r="D312" t="s">
        <v>94</v>
      </c>
      <c r="E312" t="s">
        <v>13</v>
      </c>
      <c r="F312">
        <v>0.66100000000000003</v>
      </c>
      <c r="G312" t="s">
        <v>14</v>
      </c>
    </row>
    <row r="313" spans="1:7" x14ac:dyDescent="0.25">
      <c r="A313">
        <v>26</v>
      </c>
      <c r="B313" t="s">
        <v>200</v>
      </c>
      <c r="C313">
        <v>120</v>
      </c>
      <c r="D313" t="s">
        <v>202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203</v>
      </c>
      <c r="C314">
        <v>10</v>
      </c>
      <c r="D314" t="s">
        <v>205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203</v>
      </c>
      <c r="C315">
        <v>20</v>
      </c>
      <c r="D315" t="s">
        <v>92</v>
      </c>
      <c r="E315" t="s">
        <v>93</v>
      </c>
      <c r="F315">
        <v>0.52</v>
      </c>
      <c r="G315" t="s">
        <v>14</v>
      </c>
    </row>
    <row r="316" spans="1:7" x14ac:dyDescent="0.25">
      <c r="A316">
        <v>27</v>
      </c>
      <c r="B316" t="s">
        <v>203</v>
      </c>
      <c r="C316">
        <v>30</v>
      </c>
      <c r="D316" t="s">
        <v>97</v>
      </c>
      <c r="E316" t="s">
        <v>15</v>
      </c>
      <c r="F316">
        <v>4.1150000000000002</v>
      </c>
      <c r="G316" t="s">
        <v>16</v>
      </c>
    </row>
    <row r="317" spans="1:7" x14ac:dyDescent="0.25">
      <c r="A317">
        <v>27</v>
      </c>
      <c r="B317" t="s">
        <v>203</v>
      </c>
      <c r="C317">
        <v>40</v>
      </c>
      <c r="D317" t="s">
        <v>95</v>
      </c>
      <c r="E317" t="s">
        <v>15</v>
      </c>
      <c r="F317">
        <v>4.1150000000000002</v>
      </c>
      <c r="G317" t="s">
        <v>14</v>
      </c>
    </row>
    <row r="318" spans="1:7" x14ac:dyDescent="0.25">
      <c r="A318">
        <v>27</v>
      </c>
      <c r="B318" t="s">
        <v>203</v>
      </c>
      <c r="C318">
        <v>50</v>
      </c>
      <c r="D318" t="s">
        <v>98</v>
      </c>
      <c r="E318" t="s">
        <v>15</v>
      </c>
      <c r="F318">
        <v>15.24</v>
      </c>
      <c r="G318" t="s">
        <v>14</v>
      </c>
    </row>
    <row r="319" spans="1:7" x14ac:dyDescent="0.25">
      <c r="A319">
        <v>27</v>
      </c>
      <c r="B319" t="s">
        <v>203</v>
      </c>
      <c r="C319">
        <v>60</v>
      </c>
      <c r="D319" t="s">
        <v>18</v>
      </c>
      <c r="E319" t="s">
        <v>15</v>
      </c>
      <c r="F319">
        <v>93.725999999999999</v>
      </c>
      <c r="G319" t="s">
        <v>14</v>
      </c>
    </row>
    <row r="320" spans="1:7" x14ac:dyDescent="0.25">
      <c r="A320">
        <v>27</v>
      </c>
      <c r="B320" t="s">
        <v>203</v>
      </c>
      <c r="C320">
        <v>70</v>
      </c>
      <c r="D320" t="s">
        <v>96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203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203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203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203</v>
      </c>
      <c r="C324">
        <v>110</v>
      </c>
      <c r="D324" t="s">
        <v>94</v>
      </c>
      <c r="E324" t="s">
        <v>13</v>
      </c>
      <c r="F324">
        <v>0.66100000000000003</v>
      </c>
      <c r="G324" t="s">
        <v>14</v>
      </c>
    </row>
    <row r="325" spans="1:7" x14ac:dyDescent="0.25">
      <c r="A325">
        <v>27</v>
      </c>
      <c r="B325" t="s">
        <v>204</v>
      </c>
      <c r="C325">
        <v>120</v>
      </c>
      <c r="D325" t="s">
        <v>206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207</v>
      </c>
      <c r="C326">
        <v>10</v>
      </c>
      <c r="D326" t="s">
        <v>209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207</v>
      </c>
      <c r="C327">
        <v>20</v>
      </c>
      <c r="D327" t="s">
        <v>92</v>
      </c>
      <c r="E327" t="s">
        <v>93</v>
      </c>
      <c r="F327">
        <v>0.56799999999999995</v>
      </c>
      <c r="G327" t="s">
        <v>14</v>
      </c>
    </row>
    <row r="328" spans="1:7" x14ac:dyDescent="0.25">
      <c r="A328">
        <v>28</v>
      </c>
      <c r="B328" t="s">
        <v>207</v>
      </c>
      <c r="C328">
        <v>30</v>
      </c>
      <c r="D328" t="s">
        <v>97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28</v>
      </c>
      <c r="B329" t="s">
        <v>207</v>
      </c>
      <c r="C329">
        <v>40</v>
      </c>
      <c r="D329" t="s">
        <v>95</v>
      </c>
      <c r="E329" t="s">
        <v>15</v>
      </c>
      <c r="F329">
        <v>4.1150000000000002</v>
      </c>
      <c r="G329" t="s">
        <v>14</v>
      </c>
    </row>
    <row r="330" spans="1:7" x14ac:dyDescent="0.25">
      <c r="A330">
        <v>28</v>
      </c>
      <c r="B330" t="s">
        <v>207</v>
      </c>
      <c r="C330">
        <v>50</v>
      </c>
      <c r="D330" t="s">
        <v>98</v>
      </c>
      <c r="E330" t="s">
        <v>15</v>
      </c>
      <c r="F330">
        <v>15.85</v>
      </c>
      <c r="G330" t="s">
        <v>14</v>
      </c>
    </row>
    <row r="331" spans="1:7" x14ac:dyDescent="0.25">
      <c r="A331">
        <v>28</v>
      </c>
      <c r="B331" t="s">
        <v>207</v>
      </c>
      <c r="C331">
        <v>60</v>
      </c>
      <c r="D331" t="s">
        <v>18</v>
      </c>
      <c r="E331" t="s">
        <v>15</v>
      </c>
      <c r="F331">
        <v>97.474999999999994</v>
      </c>
      <c r="G331" t="s">
        <v>14</v>
      </c>
    </row>
    <row r="332" spans="1:7" x14ac:dyDescent="0.25">
      <c r="A332">
        <v>28</v>
      </c>
      <c r="B332" t="s">
        <v>207</v>
      </c>
      <c r="C332">
        <v>70</v>
      </c>
      <c r="D332" t="s">
        <v>96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207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207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207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207</v>
      </c>
      <c r="C336">
        <v>110</v>
      </c>
      <c r="D336" t="s">
        <v>94</v>
      </c>
      <c r="E336" t="s">
        <v>13</v>
      </c>
      <c r="F336">
        <v>0.66100000000000003</v>
      </c>
      <c r="G336" t="s">
        <v>14</v>
      </c>
    </row>
    <row r="337" spans="1:7" x14ac:dyDescent="0.25">
      <c r="A337">
        <v>28</v>
      </c>
      <c r="B337" t="s">
        <v>208</v>
      </c>
      <c r="C337">
        <v>120</v>
      </c>
      <c r="D337" t="s">
        <v>210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211</v>
      </c>
      <c r="C338">
        <v>10</v>
      </c>
      <c r="D338" t="s">
        <v>213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211</v>
      </c>
      <c r="C339">
        <v>20</v>
      </c>
      <c r="D339" t="s">
        <v>92</v>
      </c>
      <c r="E339" t="s">
        <v>93</v>
      </c>
      <c r="F339">
        <v>0.24399999999999999</v>
      </c>
      <c r="G339" t="s">
        <v>14</v>
      </c>
    </row>
    <row r="340" spans="1:7" x14ac:dyDescent="0.25">
      <c r="A340">
        <v>29</v>
      </c>
      <c r="B340" t="s">
        <v>211</v>
      </c>
      <c r="C340">
        <v>30</v>
      </c>
      <c r="D340" t="s">
        <v>97</v>
      </c>
      <c r="E340" t="s">
        <v>15</v>
      </c>
      <c r="F340">
        <v>2.1589999999999998</v>
      </c>
      <c r="G340" t="s">
        <v>16</v>
      </c>
    </row>
    <row r="341" spans="1:7" x14ac:dyDescent="0.25">
      <c r="A341">
        <v>29</v>
      </c>
      <c r="B341" t="s">
        <v>211</v>
      </c>
      <c r="C341">
        <v>40</v>
      </c>
      <c r="D341" t="s">
        <v>95</v>
      </c>
      <c r="E341" t="s">
        <v>15</v>
      </c>
      <c r="F341">
        <v>2.1589999999999998</v>
      </c>
      <c r="G341" t="s">
        <v>14</v>
      </c>
    </row>
    <row r="342" spans="1:7" x14ac:dyDescent="0.25">
      <c r="A342">
        <v>29</v>
      </c>
      <c r="B342" t="s">
        <v>211</v>
      </c>
      <c r="C342">
        <v>50</v>
      </c>
      <c r="D342" t="s">
        <v>98</v>
      </c>
      <c r="E342" t="s">
        <v>15</v>
      </c>
      <c r="F342">
        <v>11.989000000000001</v>
      </c>
      <c r="G342" t="s">
        <v>14</v>
      </c>
    </row>
    <row r="343" spans="1:7" x14ac:dyDescent="0.25">
      <c r="A343">
        <v>29</v>
      </c>
      <c r="B343" t="s">
        <v>211</v>
      </c>
      <c r="C343">
        <v>60</v>
      </c>
      <c r="D343" t="s">
        <v>18</v>
      </c>
      <c r="E343" t="s">
        <v>15</v>
      </c>
      <c r="F343">
        <v>73.730999999999995</v>
      </c>
      <c r="G343" t="s">
        <v>14</v>
      </c>
    </row>
    <row r="344" spans="1:7" x14ac:dyDescent="0.25">
      <c r="A344">
        <v>29</v>
      </c>
      <c r="B344" t="s">
        <v>211</v>
      </c>
      <c r="C344">
        <v>70</v>
      </c>
      <c r="D344" t="s">
        <v>96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211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211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211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211</v>
      </c>
      <c r="C348">
        <v>110</v>
      </c>
      <c r="D348" t="s">
        <v>94</v>
      </c>
      <c r="E348" t="s">
        <v>13</v>
      </c>
      <c r="F348">
        <v>0.69099999999999995</v>
      </c>
      <c r="G348" t="s">
        <v>14</v>
      </c>
    </row>
    <row r="349" spans="1:7" x14ac:dyDescent="0.25">
      <c r="A349">
        <v>29</v>
      </c>
      <c r="B349" t="s">
        <v>212</v>
      </c>
      <c r="C349">
        <v>120</v>
      </c>
      <c r="D349" t="s">
        <v>214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215</v>
      </c>
      <c r="C350">
        <v>10</v>
      </c>
      <c r="D350" t="s">
        <v>217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215</v>
      </c>
      <c r="C351">
        <v>20</v>
      </c>
      <c r="D351" t="s">
        <v>92</v>
      </c>
      <c r="E351" t="s">
        <v>93</v>
      </c>
      <c r="F351">
        <v>0.29399999999999998</v>
      </c>
      <c r="G351" t="s">
        <v>14</v>
      </c>
    </row>
    <row r="352" spans="1:7" x14ac:dyDescent="0.25">
      <c r="A352">
        <v>30</v>
      </c>
      <c r="B352" t="s">
        <v>215</v>
      </c>
      <c r="C352">
        <v>30</v>
      </c>
      <c r="D352" t="s">
        <v>97</v>
      </c>
      <c r="E352" t="s">
        <v>15</v>
      </c>
      <c r="F352">
        <v>2.1589999999999998</v>
      </c>
      <c r="G352" t="s">
        <v>16</v>
      </c>
    </row>
    <row r="353" spans="1:7" x14ac:dyDescent="0.25">
      <c r="A353">
        <v>30</v>
      </c>
      <c r="B353" t="s">
        <v>215</v>
      </c>
      <c r="C353">
        <v>40</v>
      </c>
      <c r="D353" t="s">
        <v>95</v>
      </c>
      <c r="E353" t="s">
        <v>15</v>
      </c>
      <c r="F353">
        <v>2.1589999999999998</v>
      </c>
      <c r="G353" t="s">
        <v>14</v>
      </c>
    </row>
    <row r="354" spans="1:7" x14ac:dyDescent="0.25">
      <c r="A354">
        <v>30</v>
      </c>
      <c r="B354" t="s">
        <v>215</v>
      </c>
      <c r="C354">
        <v>50</v>
      </c>
      <c r="D354" t="s">
        <v>98</v>
      </c>
      <c r="E354" t="s">
        <v>15</v>
      </c>
      <c r="F354">
        <v>12.598000000000001</v>
      </c>
      <c r="G354" t="s">
        <v>14</v>
      </c>
    </row>
    <row r="355" spans="1:7" x14ac:dyDescent="0.25">
      <c r="A355">
        <v>30</v>
      </c>
      <c r="B355" t="s">
        <v>215</v>
      </c>
      <c r="C355">
        <v>60</v>
      </c>
      <c r="D355" t="s">
        <v>18</v>
      </c>
      <c r="E355" t="s">
        <v>15</v>
      </c>
      <c r="F355">
        <v>77.48</v>
      </c>
      <c r="G355" t="s">
        <v>14</v>
      </c>
    </row>
    <row r="356" spans="1:7" x14ac:dyDescent="0.25">
      <c r="A356">
        <v>30</v>
      </c>
      <c r="B356" t="s">
        <v>215</v>
      </c>
      <c r="C356">
        <v>70</v>
      </c>
      <c r="D356" t="s">
        <v>96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215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215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215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215</v>
      </c>
      <c r="C360">
        <v>110</v>
      </c>
      <c r="D360" t="s">
        <v>94</v>
      </c>
      <c r="E360" t="s">
        <v>13</v>
      </c>
      <c r="F360">
        <v>0.69099999999999995</v>
      </c>
      <c r="G360" t="s">
        <v>14</v>
      </c>
    </row>
    <row r="361" spans="1:7" x14ac:dyDescent="0.25">
      <c r="A361">
        <v>30</v>
      </c>
      <c r="B361" t="s">
        <v>216</v>
      </c>
      <c r="C361">
        <v>120</v>
      </c>
      <c r="D361" t="s">
        <v>218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219</v>
      </c>
      <c r="C362">
        <v>10</v>
      </c>
      <c r="D362" t="s">
        <v>221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219</v>
      </c>
      <c r="C363">
        <v>20</v>
      </c>
      <c r="D363" t="s">
        <v>92</v>
      </c>
      <c r="E363" t="s">
        <v>93</v>
      </c>
      <c r="F363">
        <v>0.34499999999999997</v>
      </c>
      <c r="G363" t="s">
        <v>14</v>
      </c>
    </row>
    <row r="364" spans="1:7" x14ac:dyDescent="0.25">
      <c r="A364">
        <v>31</v>
      </c>
      <c r="B364" t="s">
        <v>219</v>
      </c>
      <c r="C364">
        <v>30</v>
      </c>
      <c r="D364" t="s">
        <v>97</v>
      </c>
      <c r="E364" t="s">
        <v>15</v>
      </c>
      <c r="F364">
        <v>4.3179999999999996</v>
      </c>
      <c r="G364" t="s">
        <v>16</v>
      </c>
    </row>
    <row r="365" spans="1:7" x14ac:dyDescent="0.25">
      <c r="A365">
        <v>31</v>
      </c>
      <c r="B365" t="s">
        <v>219</v>
      </c>
      <c r="C365">
        <v>40</v>
      </c>
      <c r="D365" t="s">
        <v>95</v>
      </c>
      <c r="E365" t="s">
        <v>15</v>
      </c>
      <c r="F365">
        <v>4.3179999999999996</v>
      </c>
      <c r="G365" t="s">
        <v>14</v>
      </c>
    </row>
    <row r="366" spans="1:7" x14ac:dyDescent="0.25">
      <c r="A366">
        <v>31</v>
      </c>
      <c r="B366" t="s">
        <v>219</v>
      </c>
      <c r="C366">
        <v>50</v>
      </c>
      <c r="D366" t="s">
        <v>98</v>
      </c>
      <c r="E366" t="s">
        <v>15</v>
      </c>
      <c r="F366">
        <v>13.208</v>
      </c>
      <c r="G366" t="s">
        <v>14</v>
      </c>
    </row>
    <row r="367" spans="1:7" x14ac:dyDescent="0.25">
      <c r="A367">
        <v>31</v>
      </c>
      <c r="B367" t="s">
        <v>219</v>
      </c>
      <c r="C367">
        <v>60</v>
      </c>
      <c r="D367" t="s">
        <v>18</v>
      </c>
      <c r="E367" t="s">
        <v>15</v>
      </c>
      <c r="F367">
        <v>81.228999999999999</v>
      </c>
      <c r="G367" t="s">
        <v>14</v>
      </c>
    </row>
    <row r="368" spans="1:7" x14ac:dyDescent="0.25">
      <c r="A368">
        <v>31</v>
      </c>
      <c r="B368" t="s">
        <v>219</v>
      </c>
      <c r="C368">
        <v>70</v>
      </c>
      <c r="D368" t="s">
        <v>96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219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219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219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219</v>
      </c>
      <c r="C372">
        <v>110</v>
      </c>
      <c r="D372" t="s">
        <v>94</v>
      </c>
      <c r="E372" t="s">
        <v>13</v>
      </c>
      <c r="F372">
        <v>0.69099999999999995</v>
      </c>
      <c r="G372" t="s">
        <v>14</v>
      </c>
    </row>
    <row r="373" spans="1:7" x14ac:dyDescent="0.25">
      <c r="A373">
        <v>31</v>
      </c>
      <c r="B373" t="s">
        <v>220</v>
      </c>
      <c r="C373">
        <v>120</v>
      </c>
      <c r="D373" t="s">
        <v>222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223</v>
      </c>
      <c r="C374">
        <v>10</v>
      </c>
      <c r="D374" t="s">
        <v>225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223</v>
      </c>
      <c r="C375">
        <v>20</v>
      </c>
      <c r="D375" t="s">
        <v>92</v>
      </c>
      <c r="E375" t="s">
        <v>93</v>
      </c>
      <c r="F375">
        <v>0.39500000000000002</v>
      </c>
      <c r="G375" t="s">
        <v>14</v>
      </c>
    </row>
    <row r="376" spans="1:7" x14ac:dyDescent="0.25">
      <c r="A376">
        <v>32</v>
      </c>
      <c r="B376" t="s">
        <v>223</v>
      </c>
      <c r="C376">
        <v>30</v>
      </c>
      <c r="D376" t="s">
        <v>97</v>
      </c>
      <c r="E376" t="s">
        <v>15</v>
      </c>
      <c r="F376">
        <v>4.3179999999999996</v>
      </c>
      <c r="G376" t="s">
        <v>16</v>
      </c>
    </row>
    <row r="377" spans="1:7" x14ac:dyDescent="0.25">
      <c r="A377">
        <v>32</v>
      </c>
      <c r="B377" t="s">
        <v>223</v>
      </c>
      <c r="C377">
        <v>40</v>
      </c>
      <c r="D377" t="s">
        <v>95</v>
      </c>
      <c r="E377" t="s">
        <v>15</v>
      </c>
      <c r="F377">
        <v>4.3179999999999996</v>
      </c>
      <c r="G377" t="s">
        <v>14</v>
      </c>
    </row>
    <row r="378" spans="1:7" x14ac:dyDescent="0.25">
      <c r="A378">
        <v>32</v>
      </c>
      <c r="B378" t="s">
        <v>223</v>
      </c>
      <c r="C378">
        <v>50</v>
      </c>
      <c r="D378" t="s">
        <v>98</v>
      </c>
      <c r="E378" t="s">
        <v>15</v>
      </c>
      <c r="F378">
        <v>13.818</v>
      </c>
      <c r="G378" t="s">
        <v>14</v>
      </c>
    </row>
    <row r="379" spans="1:7" x14ac:dyDescent="0.25">
      <c r="A379">
        <v>32</v>
      </c>
      <c r="B379" t="s">
        <v>223</v>
      </c>
      <c r="C379">
        <v>60</v>
      </c>
      <c r="D379" t="s">
        <v>18</v>
      </c>
      <c r="E379" t="s">
        <v>15</v>
      </c>
      <c r="F379">
        <v>84.977999999999994</v>
      </c>
      <c r="G379" t="s">
        <v>14</v>
      </c>
    </row>
    <row r="380" spans="1:7" x14ac:dyDescent="0.25">
      <c r="A380">
        <v>32</v>
      </c>
      <c r="B380" t="s">
        <v>223</v>
      </c>
      <c r="C380">
        <v>70</v>
      </c>
      <c r="D380" t="s">
        <v>96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223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223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223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223</v>
      </c>
      <c r="C384">
        <v>110</v>
      </c>
      <c r="D384" t="s">
        <v>94</v>
      </c>
      <c r="E384" t="s">
        <v>13</v>
      </c>
      <c r="F384">
        <v>0.69099999999999995</v>
      </c>
      <c r="G384" t="s">
        <v>14</v>
      </c>
    </row>
    <row r="385" spans="1:7" x14ac:dyDescent="0.25">
      <c r="A385">
        <v>32</v>
      </c>
      <c r="B385" t="s">
        <v>224</v>
      </c>
      <c r="C385">
        <v>120</v>
      </c>
      <c r="D385" t="s">
        <v>226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227</v>
      </c>
      <c r="C386">
        <v>10</v>
      </c>
      <c r="D386" t="s">
        <v>229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227</v>
      </c>
      <c r="C387">
        <v>20</v>
      </c>
      <c r="D387" t="s">
        <v>92</v>
      </c>
      <c r="E387" t="s">
        <v>93</v>
      </c>
      <c r="F387">
        <v>0.496</v>
      </c>
      <c r="G387" t="s">
        <v>14</v>
      </c>
    </row>
    <row r="388" spans="1:7" x14ac:dyDescent="0.25">
      <c r="A388">
        <v>33</v>
      </c>
      <c r="B388" t="s">
        <v>227</v>
      </c>
      <c r="C388">
        <v>30</v>
      </c>
      <c r="D388" t="s">
        <v>97</v>
      </c>
      <c r="E388" t="s">
        <v>15</v>
      </c>
      <c r="F388">
        <v>4.3179999999999996</v>
      </c>
      <c r="G388" t="s">
        <v>16</v>
      </c>
    </row>
    <row r="389" spans="1:7" x14ac:dyDescent="0.25">
      <c r="A389">
        <v>33</v>
      </c>
      <c r="B389" t="s">
        <v>227</v>
      </c>
      <c r="C389">
        <v>40</v>
      </c>
      <c r="D389" t="s">
        <v>95</v>
      </c>
      <c r="E389" t="s">
        <v>15</v>
      </c>
      <c r="F389">
        <v>4.3179999999999996</v>
      </c>
      <c r="G389" t="s">
        <v>14</v>
      </c>
    </row>
    <row r="390" spans="1:7" x14ac:dyDescent="0.25">
      <c r="A390">
        <v>33</v>
      </c>
      <c r="B390" t="s">
        <v>227</v>
      </c>
      <c r="C390">
        <v>50</v>
      </c>
      <c r="D390" t="s">
        <v>98</v>
      </c>
      <c r="E390" t="s">
        <v>15</v>
      </c>
      <c r="F390">
        <v>15.037000000000001</v>
      </c>
      <c r="G390" t="s">
        <v>14</v>
      </c>
    </row>
    <row r="391" spans="1:7" x14ac:dyDescent="0.25">
      <c r="A391">
        <v>33</v>
      </c>
      <c r="B391" t="s">
        <v>227</v>
      </c>
      <c r="C391">
        <v>60</v>
      </c>
      <c r="D391" t="s">
        <v>18</v>
      </c>
      <c r="E391" t="s">
        <v>15</v>
      </c>
      <c r="F391">
        <v>92.475999999999999</v>
      </c>
      <c r="G391" t="s">
        <v>14</v>
      </c>
    </row>
    <row r="392" spans="1:7" x14ac:dyDescent="0.25">
      <c r="A392">
        <v>33</v>
      </c>
      <c r="B392" t="s">
        <v>227</v>
      </c>
      <c r="C392">
        <v>70</v>
      </c>
      <c r="D392" t="s">
        <v>96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227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227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227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227</v>
      </c>
      <c r="C396">
        <v>110</v>
      </c>
      <c r="D396" t="s">
        <v>94</v>
      </c>
      <c r="E396" t="s">
        <v>13</v>
      </c>
      <c r="F396">
        <v>0.69099999999999995</v>
      </c>
      <c r="G396" t="s">
        <v>14</v>
      </c>
    </row>
    <row r="397" spans="1:7" x14ac:dyDescent="0.25">
      <c r="A397">
        <v>33</v>
      </c>
      <c r="B397" t="s">
        <v>228</v>
      </c>
      <c r="C397">
        <v>120</v>
      </c>
      <c r="D397" t="s">
        <v>230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231</v>
      </c>
      <c r="C398">
        <v>10</v>
      </c>
      <c r="D398" t="s">
        <v>233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231</v>
      </c>
      <c r="C399">
        <v>20</v>
      </c>
      <c r="D399" t="s">
        <v>92</v>
      </c>
      <c r="E399" t="s">
        <v>93</v>
      </c>
      <c r="F399">
        <v>0.54600000000000004</v>
      </c>
      <c r="G399" t="s">
        <v>14</v>
      </c>
    </row>
    <row r="400" spans="1:7" x14ac:dyDescent="0.25">
      <c r="A400">
        <v>34</v>
      </c>
      <c r="B400" t="s">
        <v>231</v>
      </c>
      <c r="C400">
        <v>30</v>
      </c>
      <c r="D400" t="s">
        <v>97</v>
      </c>
      <c r="E400" t="s">
        <v>15</v>
      </c>
      <c r="F400">
        <v>4.3179999999999996</v>
      </c>
      <c r="G400" t="s">
        <v>16</v>
      </c>
    </row>
    <row r="401" spans="1:7" x14ac:dyDescent="0.25">
      <c r="A401">
        <v>34</v>
      </c>
      <c r="B401" t="s">
        <v>231</v>
      </c>
      <c r="C401">
        <v>40</v>
      </c>
      <c r="D401" t="s">
        <v>95</v>
      </c>
      <c r="E401" t="s">
        <v>15</v>
      </c>
      <c r="F401">
        <v>4.3179999999999996</v>
      </c>
      <c r="G401" t="s">
        <v>14</v>
      </c>
    </row>
    <row r="402" spans="1:7" x14ac:dyDescent="0.25">
      <c r="A402">
        <v>34</v>
      </c>
      <c r="B402" t="s">
        <v>231</v>
      </c>
      <c r="C402">
        <v>50</v>
      </c>
      <c r="D402" t="s">
        <v>98</v>
      </c>
      <c r="E402" t="s">
        <v>15</v>
      </c>
      <c r="F402">
        <v>15.646000000000001</v>
      </c>
      <c r="G402" t="s">
        <v>14</v>
      </c>
    </row>
    <row r="403" spans="1:7" x14ac:dyDescent="0.25">
      <c r="A403">
        <v>34</v>
      </c>
      <c r="B403" t="s">
        <v>231</v>
      </c>
      <c r="C403">
        <v>60</v>
      </c>
      <c r="D403" t="s">
        <v>18</v>
      </c>
      <c r="E403" t="s">
        <v>15</v>
      </c>
      <c r="F403">
        <v>96.224999999999994</v>
      </c>
      <c r="G403" t="s">
        <v>14</v>
      </c>
    </row>
    <row r="404" spans="1:7" x14ac:dyDescent="0.25">
      <c r="A404">
        <v>34</v>
      </c>
      <c r="B404" t="s">
        <v>231</v>
      </c>
      <c r="C404">
        <v>70</v>
      </c>
      <c r="D404" t="s">
        <v>96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231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231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231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231</v>
      </c>
      <c r="C408">
        <v>110</v>
      </c>
      <c r="D408" t="s">
        <v>94</v>
      </c>
      <c r="E408" t="s">
        <v>13</v>
      </c>
      <c r="F408">
        <v>0.69099999999999995</v>
      </c>
      <c r="G408" t="s">
        <v>14</v>
      </c>
    </row>
    <row r="409" spans="1:7" x14ac:dyDescent="0.25">
      <c r="A409">
        <v>34</v>
      </c>
      <c r="B409" t="s">
        <v>232</v>
      </c>
      <c r="C409">
        <v>120</v>
      </c>
      <c r="D409" t="s">
        <v>234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235</v>
      </c>
      <c r="C410">
        <v>10</v>
      </c>
      <c r="D410" t="s">
        <v>237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235</v>
      </c>
      <c r="C411">
        <v>20</v>
      </c>
      <c r="D411" t="s">
        <v>92</v>
      </c>
      <c r="E411" t="s">
        <v>93</v>
      </c>
      <c r="F411">
        <v>0.59699999999999998</v>
      </c>
      <c r="G411" t="s">
        <v>14</v>
      </c>
    </row>
    <row r="412" spans="1:7" x14ac:dyDescent="0.25">
      <c r="A412">
        <v>35</v>
      </c>
      <c r="B412" t="s">
        <v>235</v>
      </c>
      <c r="C412">
        <v>30</v>
      </c>
      <c r="D412" t="s">
        <v>97</v>
      </c>
      <c r="E412" t="s">
        <v>15</v>
      </c>
      <c r="F412">
        <v>4.3179999999999996</v>
      </c>
      <c r="G412" t="s">
        <v>16</v>
      </c>
    </row>
    <row r="413" spans="1:7" x14ac:dyDescent="0.25">
      <c r="A413">
        <v>35</v>
      </c>
      <c r="B413" t="s">
        <v>235</v>
      </c>
      <c r="C413">
        <v>40</v>
      </c>
      <c r="D413" t="s">
        <v>95</v>
      </c>
      <c r="E413" t="s">
        <v>15</v>
      </c>
      <c r="F413">
        <v>4.3179999999999996</v>
      </c>
      <c r="G413" t="s">
        <v>14</v>
      </c>
    </row>
    <row r="414" spans="1:7" x14ac:dyDescent="0.25">
      <c r="A414">
        <v>35</v>
      </c>
      <c r="B414" t="s">
        <v>235</v>
      </c>
      <c r="C414">
        <v>50</v>
      </c>
      <c r="D414" t="s">
        <v>98</v>
      </c>
      <c r="E414" t="s">
        <v>15</v>
      </c>
      <c r="F414">
        <v>16.256</v>
      </c>
      <c r="G414" t="s">
        <v>14</v>
      </c>
    </row>
    <row r="415" spans="1:7" x14ac:dyDescent="0.25">
      <c r="A415">
        <v>35</v>
      </c>
      <c r="B415" t="s">
        <v>235</v>
      </c>
      <c r="C415">
        <v>60</v>
      </c>
      <c r="D415" t="s">
        <v>18</v>
      </c>
      <c r="E415" t="s">
        <v>15</v>
      </c>
      <c r="F415">
        <v>99.974000000000004</v>
      </c>
      <c r="G415" t="s">
        <v>14</v>
      </c>
    </row>
    <row r="416" spans="1:7" x14ac:dyDescent="0.25">
      <c r="A416">
        <v>35</v>
      </c>
      <c r="B416" t="s">
        <v>235</v>
      </c>
      <c r="C416">
        <v>70</v>
      </c>
      <c r="D416" t="s">
        <v>96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235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235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235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235</v>
      </c>
      <c r="C420">
        <v>110</v>
      </c>
      <c r="D420" t="s">
        <v>94</v>
      </c>
      <c r="E420" t="s">
        <v>13</v>
      </c>
      <c r="F420">
        <v>0.69099999999999995</v>
      </c>
      <c r="G420" t="s">
        <v>14</v>
      </c>
    </row>
    <row r="421" spans="1:7" x14ac:dyDescent="0.25">
      <c r="A421">
        <v>35</v>
      </c>
      <c r="B421" t="s">
        <v>236</v>
      </c>
      <c r="C421">
        <v>120</v>
      </c>
      <c r="D421" t="s">
        <v>238</v>
      </c>
      <c r="E421" t="s">
        <v>11</v>
      </c>
      <c r="F421">
        <v>2</v>
      </c>
      <c r="G4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24"/>
  <sheetViews>
    <sheetView zoomScale="85" zoomScaleNormal="85" workbookViewId="0">
      <selection activeCell="C35" sqref="C3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71093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5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5"/>
      <c r="B4" s="28" t="s">
        <v>49</v>
      </c>
      <c r="C4" s="28" t="s">
        <v>50</v>
      </c>
      <c r="D4" s="42" t="s">
        <v>51</v>
      </c>
      <c r="E4" s="28" t="s">
        <v>3</v>
      </c>
      <c r="F4" s="42" t="s">
        <v>52</v>
      </c>
      <c r="G4" s="28" t="s">
        <v>53</v>
      </c>
      <c r="H4" s="28" t="s">
        <v>6</v>
      </c>
      <c r="I4" s="28" t="s">
        <v>54</v>
      </c>
      <c r="J4" s="42" t="s">
        <v>55</v>
      </c>
      <c r="K4" s="42" t="s">
        <v>56</v>
      </c>
      <c r="L4" s="42" t="s">
        <v>57</v>
      </c>
      <c r="M4" s="29" t="s">
        <v>58</v>
      </c>
      <c r="N4" s="3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99</v>
      </c>
      <c r="D5" s="3"/>
      <c r="E5" s="3" t="s">
        <v>99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101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99</v>
      </c>
      <c r="D6" s="3"/>
      <c r="E6" s="3" t="s">
        <v>99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92</v>
      </c>
      <c r="O6" s="3"/>
      <c r="P6" s="3"/>
      <c r="Q6" s="3">
        <v>0.20799999999999999</v>
      </c>
      <c r="R6" s="3" t="s">
        <v>93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99</v>
      </c>
      <c r="D7" s="3"/>
      <c r="E7" s="3" t="s">
        <v>99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97</v>
      </c>
      <c r="O7" s="3"/>
      <c r="P7" s="3"/>
      <c r="Q7" s="3">
        <v>1.575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99</v>
      </c>
      <c r="D8" s="3"/>
      <c r="E8" s="3" t="s">
        <v>99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95</v>
      </c>
      <c r="O8" s="3"/>
      <c r="P8" s="3"/>
      <c r="Q8" s="3">
        <v>1.575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99</v>
      </c>
      <c r="D9" s="3"/>
      <c r="E9" s="3" t="s">
        <v>99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98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99</v>
      </c>
      <c r="D10" s="3"/>
      <c r="E10" s="3" t="s">
        <v>99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99</v>
      </c>
      <c r="D11" s="3"/>
      <c r="E11" s="3" t="s">
        <v>99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96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99</v>
      </c>
      <c r="D12" s="3"/>
      <c r="E12" s="3" t="s">
        <v>99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99</v>
      </c>
      <c r="D13" s="3"/>
      <c r="E13" s="3" t="s">
        <v>99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99</v>
      </c>
      <c r="D14" s="3"/>
      <c r="E14" s="3" t="s">
        <v>99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99</v>
      </c>
      <c r="D15" s="3"/>
      <c r="E15" s="3" t="s">
        <v>99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94</v>
      </c>
      <c r="O15" s="3"/>
      <c r="P15" s="3"/>
      <c r="Q15" s="3">
        <v>0.28499999999999998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100</v>
      </c>
      <c r="D16" s="3"/>
      <c r="E16" s="3" t="s">
        <v>100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102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103</v>
      </c>
      <c r="D17" s="3"/>
      <c r="E17" s="3" t="s">
        <v>103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105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103</v>
      </c>
      <c r="D18" s="3"/>
      <c r="E18" s="3" t="s">
        <v>103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92</v>
      </c>
      <c r="O18" s="3"/>
      <c r="P18" s="3"/>
      <c r="Q18" s="3">
        <v>0.252</v>
      </c>
      <c r="R18" s="3" t="s">
        <v>93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103</v>
      </c>
      <c r="D19" s="3"/>
      <c r="E19" s="3" t="s">
        <v>103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97</v>
      </c>
      <c r="O19" s="3"/>
      <c r="P19" s="3"/>
      <c r="Q19" s="3">
        <v>1.88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103</v>
      </c>
      <c r="D20" s="3"/>
      <c r="E20" s="3" t="s">
        <v>103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95</v>
      </c>
      <c r="O20" s="3"/>
      <c r="P20" s="3"/>
      <c r="Q20" s="3">
        <v>1.88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103</v>
      </c>
      <c r="D21" s="3"/>
      <c r="E21" s="3" t="s">
        <v>103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98</v>
      </c>
      <c r="O21" s="3"/>
      <c r="P21" s="3"/>
      <c r="Q21" s="3">
        <v>11.379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103</v>
      </c>
      <c r="D22" s="3"/>
      <c r="E22" s="3" t="s">
        <v>103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69.981999999999999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103</v>
      </c>
      <c r="D23" s="3"/>
      <c r="E23" s="3" t="s">
        <v>103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96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103</v>
      </c>
      <c r="D24" s="3"/>
      <c r="E24" s="3" t="s">
        <v>103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103</v>
      </c>
      <c r="D25" s="3"/>
      <c r="E25" s="3" t="s">
        <v>103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103</v>
      </c>
      <c r="D26" s="3"/>
      <c r="E26" s="3" t="s">
        <v>103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103</v>
      </c>
      <c r="D27" s="3"/>
      <c r="E27" s="3" t="s">
        <v>103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94</v>
      </c>
      <c r="O27" s="3"/>
      <c r="P27" s="3"/>
      <c r="Q27" s="3">
        <v>0.33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104</v>
      </c>
      <c r="D28" s="3"/>
      <c r="E28" s="3" t="s">
        <v>104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106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107</v>
      </c>
      <c r="D29" s="3"/>
      <c r="E29" s="3" t="s">
        <v>107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109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107</v>
      </c>
      <c r="D30" s="3"/>
      <c r="E30" s="3" t="s">
        <v>107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92</v>
      </c>
      <c r="O30" s="3"/>
      <c r="P30" s="3"/>
      <c r="Q30" s="3">
        <v>0.29499999999999998</v>
      </c>
      <c r="R30" s="3" t="s">
        <v>93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107</v>
      </c>
      <c r="D31" s="3"/>
      <c r="E31" s="3" t="s">
        <v>107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97</v>
      </c>
      <c r="O31" s="3"/>
      <c r="P31" s="3"/>
      <c r="Q31" s="3">
        <v>2.1840000000000002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107</v>
      </c>
      <c r="D32" s="3"/>
      <c r="E32" s="3" t="s">
        <v>107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95</v>
      </c>
      <c r="O32" s="3"/>
      <c r="P32" s="3"/>
      <c r="Q32" s="3">
        <v>2.1840000000000002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107</v>
      </c>
      <c r="D33" s="3"/>
      <c r="E33" s="3" t="s">
        <v>107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98</v>
      </c>
      <c r="O33" s="3"/>
      <c r="P33" s="3"/>
      <c r="Q33" s="3">
        <v>11.989000000000001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107</v>
      </c>
      <c r="D34" s="3"/>
      <c r="E34" s="3" t="s">
        <v>107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73.730999999999995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107</v>
      </c>
      <c r="D35" s="3"/>
      <c r="E35" s="3" t="s">
        <v>107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96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107</v>
      </c>
      <c r="D36" s="3"/>
      <c r="E36" s="3" t="s">
        <v>107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107</v>
      </c>
      <c r="D37" s="3"/>
      <c r="E37" s="3" t="s">
        <v>107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107</v>
      </c>
      <c r="D38" s="3"/>
      <c r="E38" s="3" t="s">
        <v>107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107</v>
      </c>
      <c r="D39" s="3"/>
      <c r="E39" s="3" t="s">
        <v>107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94</v>
      </c>
      <c r="O39" s="3"/>
      <c r="P39" s="3"/>
      <c r="Q39" s="3">
        <v>0.375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108</v>
      </c>
      <c r="D40" s="3"/>
      <c r="E40" s="3" t="s">
        <v>108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110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111</v>
      </c>
      <c r="D41" s="3"/>
      <c r="E41" s="3" t="s">
        <v>111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113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111</v>
      </c>
      <c r="D42" s="3"/>
      <c r="E42" s="3" t="s">
        <v>111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92</v>
      </c>
      <c r="O42" s="3"/>
      <c r="P42" s="3"/>
      <c r="Q42" s="3">
        <v>0.33800000000000002</v>
      </c>
      <c r="R42" s="3" t="s">
        <v>93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111</v>
      </c>
      <c r="D43" s="3"/>
      <c r="E43" s="3" t="s">
        <v>111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97</v>
      </c>
      <c r="O43" s="3"/>
      <c r="P43" s="3"/>
      <c r="Q43" s="3">
        <v>2.4889999999999999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111</v>
      </c>
      <c r="D44" s="3"/>
      <c r="E44" s="3" t="s">
        <v>111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95</v>
      </c>
      <c r="O44" s="3"/>
      <c r="P44" s="3"/>
      <c r="Q44" s="3">
        <v>2.4889999999999999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111</v>
      </c>
      <c r="D45" s="3"/>
      <c r="E45" s="3" t="s">
        <v>111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98</v>
      </c>
      <c r="O45" s="3"/>
      <c r="P45" s="3"/>
      <c r="Q45" s="3">
        <v>12.598000000000001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111</v>
      </c>
      <c r="D46" s="3"/>
      <c r="E46" s="3" t="s">
        <v>111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77.48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111</v>
      </c>
      <c r="D47" s="3"/>
      <c r="E47" s="3" t="s">
        <v>111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96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111</v>
      </c>
      <c r="D48" s="3"/>
      <c r="E48" s="3" t="s">
        <v>111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111</v>
      </c>
      <c r="D49" s="3"/>
      <c r="E49" s="3" t="s">
        <v>111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111</v>
      </c>
      <c r="D50" s="3"/>
      <c r="E50" s="3" t="s">
        <v>111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111</v>
      </c>
      <c r="D51" s="3"/>
      <c r="E51" s="3" t="s">
        <v>111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94</v>
      </c>
      <c r="O51" s="3"/>
      <c r="P51" s="3"/>
      <c r="Q51" s="3">
        <v>0.42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114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117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92</v>
      </c>
      <c r="O54" s="3"/>
      <c r="P54" s="3"/>
      <c r="Q54" s="3">
        <v>0.42399999999999999</v>
      </c>
      <c r="R54" s="3" t="s">
        <v>93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97</v>
      </c>
      <c r="O55" s="3"/>
      <c r="P55" s="3"/>
      <c r="Q55" s="3">
        <v>3.0990000000000002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95</v>
      </c>
      <c r="O56" s="3"/>
      <c r="P56" s="3"/>
      <c r="Q56" s="3">
        <v>3.0990000000000002</v>
      </c>
      <c r="R56" s="3" t="s">
        <v>15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98</v>
      </c>
      <c r="O57" s="3"/>
      <c r="P57" s="3"/>
      <c r="Q57" s="3">
        <v>13.818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84.977999999999994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96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94</v>
      </c>
      <c r="O63" s="3"/>
      <c r="P63" s="3"/>
      <c r="Q63" s="3">
        <v>0.51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118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92</v>
      </c>
      <c r="O66" s="3"/>
      <c r="P66" s="3"/>
      <c r="Q66" s="3">
        <v>0.46700000000000003</v>
      </c>
      <c r="R66" s="3" t="s">
        <v>93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97</v>
      </c>
      <c r="O67" s="3"/>
      <c r="P67" s="3"/>
      <c r="Q67" s="3">
        <v>3.4039999999999999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95</v>
      </c>
      <c r="O68" s="3"/>
      <c r="P68" s="3"/>
      <c r="Q68" s="3">
        <v>3.4039999999999999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98</v>
      </c>
      <c r="O69" s="3"/>
      <c r="P69" s="3"/>
      <c r="Q69" s="3">
        <v>14.427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88.727000000000004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96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94</v>
      </c>
      <c r="O75" s="3"/>
      <c r="P75" s="3"/>
      <c r="Q75" s="3">
        <v>0.55500000000000005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120</v>
      </c>
      <c r="D76" s="3"/>
      <c r="E76" s="3" t="s">
        <v>120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122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125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92</v>
      </c>
      <c r="O78" s="3"/>
      <c r="P78" s="3"/>
      <c r="Q78" s="3">
        <v>0.51</v>
      </c>
      <c r="R78" s="3" t="s">
        <v>93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97</v>
      </c>
      <c r="O79" s="3"/>
      <c r="P79" s="3"/>
      <c r="Q79" s="3">
        <v>3.7080000000000002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95</v>
      </c>
      <c r="O80" s="3"/>
      <c r="P80" s="3"/>
      <c r="Q80" s="3">
        <v>3.7080000000000002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98</v>
      </c>
      <c r="O81" s="3"/>
      <c r="P81" s="3"/>
      <c r="Q81" s="3">
        <v>15.037000000000001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92.475999999999999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123</v>
      </c>
      <c r="D83" s="3"/>
      <c r="E83" s="3" t="s">
        <v>123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96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123</v>
      </c>
      <c r="D84" s="3"/>
      <c r="E84" s="3" t="s">
        <v>123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123</v>
      </c>
      <c r="D85" s="3"/>
      <c r="E85" s="3" t="s">
        <v>123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123</v>
      </c>
      <c r="D86" s="3"/>
      <c r="E86" s="3" t="s">
        <v>123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123</v>
      </c>
      <c r="D87" s="3"/>
      <c r="E87" s="3" t="s">
        <v>123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94</v>
      </c>
      <c r="O87" s="3"/>
      <c r="P87" s="3"/>
      <c r="Q87" s="3">
        <v>0.60099999999999998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124</v>
      </c>
      <c r="D88" s="3"/>
      <c r="E88" s="3" t="s">
        <v>124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126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129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92</v>
      </c>
      <c r="O90" s="3"/>
      <c r="P90" s="3"/>
      <c r="Q90" s="3">
        <v>0.217</v>
      </c>
      <c r="R90" s="3" t="s">
        <v>93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97</v>
      </c>
      <c r="O91" s="3"/>
      <c r="P91" s="3"/>
      <c r="Q91" s="3">
        <v>1.575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95</v>
      </c>
      <c r="O92" s="3"/>
      <c r="P92" s="3"/>
      <c r="Q92" s="3">
        <v>1.575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98</v>
      </c>
      <c r="O93" s="3"/>
      <c r="P93" s="3"/>
      <c r="Q93" s="3">
        <v>11.074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68.108000000000004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96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94</v>
      </c>
      <c r="O99" s="3"/>
      <c r="P99" s="3"/>
      <c r="Q99" s="3">
        <v>0.28499999999999998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130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131</v>
      </c>
      <c r="D101" s="3"/>
      <c r="E101" s="3" t="s">
        <v>131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133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131</v>
      </c>
      <c r="D102" s="3"/>
      <c r="E102" s="3" t="s">
        <v>131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92</v>
      </c>
      <c r="O102" s="3"/>
      <c r="P102" s="3"/>
      <c r="Q102" s="3">
        <v>0.26200000000000001</v>
      </c>
      <c r="R102" s="3" t="s">
        <v>93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131</v>
      </c>
      <c r="D103" s="3"/>
      <c r="E103" s="3" t="s">
        <v>131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97</v>
      </c>
      <c r="O103" s="3"/>
      <c r="P103" s="3"/>
      <c r="Q103" s="3">
        <v>1.88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131</v>
      </c>
      <c r="D104" s="3"/>
      <c r="E104" s="3" t="s">
        <v>131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95</v>
      </c>
      <c r="O104" s="3"/>
      <c r="P104" s="3"/>
      <c r="Q104" s="3">
        <v>1.88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131</v>
      </c>
      <c r="D105" s="3"/>
      <c r="E105" s="3" t="s">
        <v>131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98</v>
      </c>
      <c r="O105" s="3"/>
      <c r="P105" s="3"/>
      <c r="Q105" s="3">
        <v>11.683999999999999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131</v>
      </c>
      <c r="D106" s="3"/>
      <c r="E106" s="3" t="s">
        <v>131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71.856999999999999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131</v>
      </c>
      <c r="D107" s="3"/>
      <c r="E107" s="3" t="s">
        <v>131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96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131</v>
      </c>
      <c r="D108" s="3"/>
      <c r="E108" s="3" t="s">
        <v>131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131</v>
      </c>
      <c r="D109" s="3"/>
      <c r="E109" s="3" t="s">
        <v>131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131</v>
      </c>
      <c r="D110" s="3"/>
      <c r="E110" s="3" t="s">
        <v>131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131</v>
      </c>
      <c r="D111" s="3"/>
      <c r="E111" s="3" t="s">
        <v>131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94</v>
      </c>
      <c r="O111" s="3"/>
      <c r="P111" s="3"/>
      <c r="Q111" s="3">
        <v>0.33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134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135</v>
      </c>
      <c r="D113" s="3"/>
      <c r="E113" s="3" t="s">
        <v>135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137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135</v>
      </c>
      <c r="D114" s="3"/>
      <c r="E114" s="3" t="s">
        <v>135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92</v>
      </c>
      <c r="O114" s="3"/>
      <c r="P114" s="3"/>
      <c r="Q114" s="3">
        <v>0.307</v>
      </c>
      <c r="R114" s="3" t="s">
        <v>93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135</v>
      </c>
      <c r="D115" s="3"/>
      <c r="E115" s="3" t="s">
        <v>135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97</v>
      </c>
      <c r="O115" s="3"/>
      <c r="P115" s="3"/>
      <c r="Q115" s="3">
        <v>2.1840000000000002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135</v>
      </c>
      <c r="D116" s="3"/>
      <c r="E116" s="3" t="s">
        <v>135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95</v>
      </c>
      <c r="O116" s="3"/>
      <c r="P116" s="3"/>
      <c r="Q116" s="3">
        <v>2.1840000000000002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135</v>
      </c>
      <c r="D117" s="3"/>
      <c r="E117" s="3" t="s">
        <v>135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98</v>
      </c>
      <c r="O117" s="3"/>
      <c r="P117" s="3"/>
      <c r="Q117" s="3">
        <v>12.294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135</v>
      </c>
      <c r="D118" s="3"/>
      <c r="E118" s="3" t="s">
        <v>135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75.605999999999995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135</v>
      </c>
      <c r="D119" s="3"/>
      <c r="E119" s="3" t="s">
        <v>135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96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135</v>
      </c>
      <c r="D120" s="3"/>
      <c r="E120" s="3" t="s">
        <v>135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135</v>
      </c>
      <c r="D121" s="3"/>
      <c r="E121" s="3" t="s">
        <v>135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135</v>
      </c>
      <c r="D122" s="3"/>
      <c r="E122" s="3" t="s">
        <v>135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135</v>
      </c>
      <c r="D123" s="3"/>
      <c r="E123" s="3" t="s">
        <v>135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94</v>
      </c>
      <c r="O123" s="3"/>
      <c r="P123" s="3"/>
      <c r="Q123" s="3">
        <v>0.375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136</v>
      </c>
      <c r="D124" s="3"/>
      <c r="E124" s="3" t="s">
        <v>136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138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139</v>
      </c>
      <c r="D125" s="3"/>
      <c r="E125" s="3" t="s">
        <v>139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141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139</v>
      </c>
      <c r="D126" s="3"/>
      <c r="E126" s="3" t="s">
        <v>139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92</v>
      </c>
      <c r="O126" s="3"/>
      <c r="P126" s="3"/>
      <c r="Q126" s="3">
        <v>0.35199999999999998</v>
      </c>
      <c r="R126" s="3" t="s">
        <v>93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139</v>
      </c>
      <c r="D127" s="3"/>
      <c r="E127" s="3" t="s">
        <v>139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97</v>
      </c>
      <c r="O127" s="3"/>
      <c r="P127" s="3"/>
      <c r="Q127" s="3">
        <v>2.4889999999999999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139</v>
      </c>
      <c r="D128" s="3"/>
      <c r="E128" s="3" t="s">
        <v>139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95</v>
      </c>
      <c r="O128" s="3"/>
      <c r="P128" s="3"/>
      <c r="Q128" s="3">
        <v>2.4889999999999999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139</v>
      </c>
      <c r="D129" s="3"/>
      <c r="E129" s="3" t="s">
        <v>139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98</v>
      </c>
      <c r="O129" s="3"/>
      <c r="P129" s="3"/>
      <c r="Q129" s="3">
        <v>12.903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139</v>
      </c>
      <c r="D130" s="3"/>
      <c r="E130" s="3" t="s">
        <v>139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79.355000000000004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139</v>
      </c>
      <c r="D131" s="3"/>
      <c r="E131" s="3" t="s">
        <v>139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96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139</v>
      </c>
      <c r="D132" s="3"/>
      <c r="E132" s="3" t="s">
        <v>139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139</v>
      </c>
      <c r="D133" s="3"/>
      <c r="E133" s="3" t="s">
        <v>139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139</v>
      </c>
      <c r="D134" s="3"/>
      <c r="E134" s="3" t="s">
        <v>139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139</v>
      </c>
      <c r="D135" s="3"/>
      <c r="E135" s="3" t="s">
        <v>139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94</v>
      </c>
      <c r="O135" s="3"/>
      <c r="P135" s="3"/>
      <c r="Q135" s="3">
        <v>0.42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140</v>
      </c>
      <c r="D136" s="3"/>
      <c r="E136" s="3" t="s">
        <v>140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142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143</v>
      </c>
      <c r="D137" s="3"/>
      <c r="E137" s="3" t="s">
        <v>143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145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143</v>
      </c>
      <c r="D138" s="3"/>
      <c r="E138" s="3" t="s">
        <v>143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92</v>
      </c>
      <c r="O138" s="3"/>
      <c r="P138" s="3"/>
      <c r="Q138" s="3">
        <v>0.442</v>
      </c>
      <c r="R138" s="3" t="s">
        <v>93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143</v>
      </c>
      <c r="D139" s="3"/>
      <c r="E139" s="3" t="s">
        <v>143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97</v>
      </c>
      <c r="O139" s="3"/>
      <c r="P139" s="3"/>
      <c r="Q139" s="3">
        <v>3.0990000000000002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143</v>
      </c>
      <c r="D140" s="3"/>
      <c r="E140" s="3" t="s">
        <v>143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95</v>
      </c>
      <c r="O140" s="3"/>
      <c r="P140" s="3"/>
      <c r="Q140" s="3">
        <v>3.0990000000000002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143</v>
      </c>
      <c r="D141" s="3"/>
      <c r="E141" s="3" t="s">
        <v>143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98</v>
      </c>
      <c r="O141" s="3"/>
      <c r="P141" s="3"/>
      <c r="Q141" s="3">
        <v>14.122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143</v>
      </c>
      <c r="D142" s="3"/>
      <c r="E142" s="3" t="s">
        <v>143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86.852999999999994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143</v>
      </c>
      <c r="D143" s="3"/>
      <c r="E143" s="3" t="s">
        <v>143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96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143</v>
      </c>
      <c r="D144" s="3"/>
      <c r="E144" s="3" t="s">
        <v>143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143</v>
      </c>
      <c r="D145" s="3"/>
      <c r="E145" s="3" t="s">
        <v>143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143</v>
      </c>
      <c r="D146" s="3"/>
      <c r="E146" s="3" t="s">
        <v>143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143</v>
      </c>
      <c r="D147" s="3"/>
      <c r="E147" s="3" t="s">
        <v>143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94</v>
      </c>
      <c r="O147" s="3"/>
      <c r="P147" s="3"/>
      <c r="Q147" s="3">
        <v>0.51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144</v>
      </c>
      <c r="D148" s="3"/>
      <c r="E148" s="3" t="s">
        <v>144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146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147</v>
      </c>
      <c r="D149" s="3"/>
      <c r="E149" s="3" t="s">
        <v>147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149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147</v>
      </c>
      <c r="D150" s="3"/>
      <c r="E150" s="3" t="s">
        <v>147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92</v>
      </c>
      <c r="O150" s="3"/>
      <c r="P150" s="3"/>
      <c r="Q150" s="3">
        <v>0.48699999999999999</v>
      </c>
      <c r="R150" s="3" t="s">
        <v>93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147</v>
      </c>
      <c r="D151" s="3"/>
      <c r="E151" s="3" t="s">
        <v>147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97</v>
      </c>
      <c r="O151" s="3"/>
      <c r="P151" s="3"/>
      <c r="Q151" s="3">
        <v>3.4039999999999999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147</v>
      </c>
      <c r="D152" s="3"/>
      <c r="E152" s="3" t="s">
        <v>147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95</v>
      </c>
      <c r="O152" s="3"/>
      <c r="P152" s="3"/>
      <c r="Q152" s="3">
        <v>3.4039999999999999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147</v>
      </c>
      <c r="D153" s="3"/>
      <c r="E153" s="3" t="s">
        <v>147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98</v>
      </c>
      <c r="O153" s="3"/>
      <c r="P153" s="3"/>
      <c r="Q153" s="3">
        <v>14.731999999999999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147</v>
      </c>
      <c r="D154" s="3"/>
      <c r="E154" s="3" t="s">
        <v>147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90.602000000000004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147</v>
      </c>
      <c r="D155" s="3"/>
      <c r="E155" s="3" t="s">
        <v>147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96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147</v>
      </c>
      <c r="D156" s="3"/>
      <c r="E156" s="3" t="s">
        <v>147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147</v>
      </c>
      <c r="D157" s="3"/>
      <c r="E157" s="3" t="s">
        <v>147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147</v>
      </c>
      <c r="D158" s="3"/>
      <c r="E158" s="3" t="s">
        <v>147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147</v>
      </c>
      <c r="D159" s="3"/>
      <c r="E159" s="3" t="s">
        <v>147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94</v>
      </c>
      <c r="O159" s="3"/>
      <c r="P159" s="3"/>
      <c r="Q159" s="3">
        <v>0.55500000000000005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148</v>
      </c>
      <c r="D160" s="3"/>
      <c r="E160" s="3" t="s">
        <v>148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150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151</v>
      </c>
      <c r="D161" s="3"/>
      <c r="E161" s="3" t="s">
        <v>151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153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151</v>
      </c>
      <c r="D162" s="3"/>
      <c r="E162" s="3" t="s">
        <v>151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92</v>
      </c>
      <c r="O162" s="3"/>
      <c r="P162" s="3"/>
      <c r="Q162" s="3">
        <v>0.53200000000000003</v>
      </c>
      <c r="R162" s="3" t="s">
        <v>93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151</v>
      </c>
      <c r="D163" s="3"/>
      <c r="E163" s="3" t="s">
        <v>151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97</v>
      </c>
      <c r="O163" s="3"/>
      <c r="P163" s="3"/>
      <c r="Q163" s="3">
        <v>3.7080000000000002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151</v>
      </c>
      <c r="D164" s="3"/>
      <c r="E164" s="3" t="s">
        <v>151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95</v>
      </c>
      <c r="O164" s="3"/>
      <c r="P164" s="3"/>
      <c r="Q164" s="3">
        <v>3.7080000000000002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151</v>
      </c>
      <c r="D165" s="3"/>
      <c r="E165" s="3" t="s">
        <v>151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98</v>
      </c>
      <c r="O165" s="3"/>
      <c r="P165" s="3"/>
      <c r="Q165" s="3">
        <v>15.342000000000001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151</v>
      </c>
      <c r="D166" s="3"/>
      <c r="E166" s="3" t="s">
        <v>151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94.350999999999999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151</v>
      </c>
      <c r="D167" s="3"/>
      <c r="E167" s="3" t="s">
        <v>151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96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151</v>
      </c>
      <c r="D168" s="3"/>
      <c r="E168" s="3" t="s">
        <v>151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151</v>
      </c>
      <c r="D169" s="3"/>
      <c r="E169" s="3" t="s">
        <v>151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151</v>
      </c>
      <c r="D170" s="3"/>
      <c r="E170" s="3" t="s">
        <v>151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151</v>
      </c>
      <c r="D171" s="3"/>
      <c r="E171" s="3" t="s">
        <v>151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94</v>
      </c>
      <c r="O171" s="3"/>
      <c r="P171" s="3"/>
      <c r="Q171" s="3">
        <v>0.60099999999999998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152</v>
      </c>
      <c r="D172" s="3"/>
      <c r="E172" s="3" t="s">
        <v>152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154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155</v>
      </c>
      <c r="D173" s="3"/>
      <c r="E173" s="3" t="s">
        <v>155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157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155</v>
      </c>
      <c r="D174" s="3"/>
      <c r="E174" s="3" t="s">
        <v>155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92</v>
      </c>
      <c r="O174" s="3"/>
      <c r="P174" s="3"/>
      <c r="Q174" s="3">
        <v>0.22600000000000001</v>
      </c>
      <c r="R174" s="3" t="s">
        <v>93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155</v>
      </c>
      <c r="D175" s="3"/>
      <c r="E175" s="3" t="s">
        <v>155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97</v>
      </c>
      <c r="O175" s="3"/>
      <c r="P175" s="3"/>
      <c r="Q175" s="3">
        <v>1.575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155</v>
      </c>
      <c r="D176" s="3"/>
      <c r="E176" s="3" t="s">
        <v>155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95</v>
      </c>
      <c r="O176" s="3"/>
      <c r="P176" s="3"/>
      <c r="Q176" s="3">
        <v>1.575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155</v>
      </c>
      <c r="D177" s="3"/>
      <c r="E177" s="3" t="s">
        <v>155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98</v>
      </c>
      <c r="O177" s="3"/>
      <c r="P177" s="3"/>
      <c r="Q177" s="3">
        <v>11.379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155</v>
      </c>
      <c r="D178" s="3"/>
      <c r="E178" s="3" t="s">
        <v>155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69.981999999999999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155</v>
      </c>
      <c r="D179" s="3"/>
      <c r="E179" s="3" t="s">
        <v>155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96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155</v>
      </c>
      <c r="D180" s="3"/>
      <c r="E180" s="3" t="s">
        <v>155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155</v>
      </c>
      <c r="D181" s="3"/>
      <c r="E181" s="3" t="s">
        <v>155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155</v>
      </c>
      <c r="D182" s="3"/>
      <c r="E182" s="3" t="s">
        <v>155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155</v>
      </c>
      <c r="D183" s="3"/>
      <c r="E183" s="3" t="s">
        <v>155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94</v>
      </c>
      <c r="O183" s="3"/>
      <c r="P183" s="3"/>
      <c r="Q183" s="3">
        <v>0.28499999999999998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158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159</v>
      </c>
      <c r="D185" s="3"/>
      <c r="E185" s="3" t="s">
        <v>159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161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159</v>
      </c>
      <c r="D186" s="3"/>
      <c r="E186" s="3" t="s">
        <v>159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92</v>
      </c>
      <c r="O186" s="3"/>
      <c r="P186" s="3"/>
      <c r="Q186" s="3">
        <v>0.27300000000000002</v>
      </c>
      <c r="R186" s="3" t="s">
        <v>93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97</v>
      </c>
      <c r="O187" s="3"/>
      <c r="P187" s="3"/>
      <c r="Q187" s="3">
        <v>1.88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95</v>
      </c>
      <c r="O188" s="3"/>
      <c r="P188" s="3"/>
      <c r="Q188" s="3">
        <v>1.88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98</v>
      </c>
      <c r="O189" s="3"/>
      <c r="P189" s="3"/>
      <c r="Q189" s="3">
        <v>11.989000000000001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73.730999999999995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96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94</v>
      </c>
      <c r="O195" s="3"/>
      <c r="P195" s="3"/>
      <c r="Q195" s="3">
        <v>0.33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162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163</v>
      </c>
      <c r="D197" s="3"/>
      <c r="E197" s="3" t="s">
        <v>163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165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163</v>
      </c>
      <c r="D198" s="3"/>
      <c r="E198" s="3" t="s">
        <v>163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92</v>
      </c>
      <c r="O198" s="3"/>
      <c r="P198" s="3"/>
      <c r="Q198" s="3">
        <v>0.32</v>
      </c>
      <c r="R198" s="3" t="s">
        <v>93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163</v>
      </c>
      <c r="D199" s="3"/>
      <c r="E199" s="3" t="s">
        <v>163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97</v>
      </c>
      <c r="O199" s="3"/>
      <c r="P199" s="3"/>
      <c r="Q199" s="3">
        <v>2.1840000000000002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163</v>
      </c>
      <c r="D200" s="3"/>
      <c r="E200" s="3" t="s">
        <v>163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95</v>
      </c>
      <c r="O200" s="3"/>
      <c r="P200" s="3"/>
      <c r="Q200" s="3">
        <v>2.1840000000000002</v>
      </c>
      <c r="R200" s="3" t="s">
        <v>15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98</v>
      </c>
      <c r="O201" s="3"/>
      <c r="P201" s="3"/>
      <c r="Q201" s="3">
        <v>12.598000000000001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77.48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96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94</v>
      </c>
      <c r="O207" s="3"/>
      <c r="P207" s="3"/>
      <c r="Q207" s="3">
        <v>0.375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164</v>
      </c>
      <c r="D208" s="3"/>
      <c r="E208" s="3" t="s">
        <v>164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166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167</v>
      </c>
      <c r="D209" s="3"/>
      <c r="E209" s="3" t="s">
        <v>167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169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167</v>
      </c>
      <c r="D210" s="3"/>
      <c r="E210" s="3" t="s">
        <v>167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92</v>
      </c>
      <c r="O210" s="3"/>
      <c r="P210" s="3"/>
      <c r="Q210" s="3">
        <v>0.36599999999999999</v>
      </c>
      <c r="R210" s="3" t="s">
        <v>93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167</v>
      </c>
      <c r="D211" s="3"/>
      <c r="E211" s="3" t="s">
        <v>167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97</v>
      </c>
      <c r="O211" s="3"/>
      <c r="P211" s="3"/>
      <c r="Q211" s="3">
        <v>2.4889999999999999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167</v>
      </c>
      <c r="D212" s="3"/>
      <c r="E212" s="3" t="s">
        <v>167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95</v>
      </c>
      <c r="O212" s="3"/>
      <c r="P212" s="3"/>
      <c r="Q212" s="3">
        <v>2.4889999999999999</v>
      </c>
      <c r="R212" s="3" t="s">
        <v>15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167</v>
      </c>
      <c r="D213" s="3"/>
      <c r="E213" s="3" t="s">
        <v>167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98</v>
      </c>
      <c r="O213" s="3"/>
      <c r="P213" s="3"/>
      <c r="Q213" s="3">
        <v>13.208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167</v>
      </c>
      <c r="D214" s="3"/>
      <c r="E214" s="3" t="s">
        <v>167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81.228999999999999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167</v>
      </c>
      <c r="D215" s="3"/>
      <c r="E215" s="3" t="s">
        <v>167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96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167</v>
      </c>
      <c r="D216" s="3"/>
      <c r="E216" s="3" t="s">
        <v>167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167</v>
      </c>
      <c r="D217" s="3"/>
      <c r="E217" s="3" t="s">
        <v>167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167</v>
      </c>
      <c r="D218" s="3"/>
      <c r="E218" s="3" t="s">
        <v>167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167</v>
      </c>
      <c r="D219" s="3"/>
      <c r="E219" s="3" t="s">
        <v>167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94</v>
      </c>
      <c r="O219" s="3"/>
      <c r="P219" s="3"/>
      <c r="Q219" s="3">
        <v>0.42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168</v>
      </c>
      <c r="D220" s="3"/>
      <c r="E220" s="3" t="s">
        <v>168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170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173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92</v>
      </c>
      <c r="O222" s="3"/>
      <c r="P222" s="3"/>
      <c r="Q222" s="3">
        <v>0.46</v>
      </c>
      <c r="R222" s="3" t="s">
        <v>93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97</v>
      </c>
      <c r="O223" s="3"/>
      <c r="P223" s="3"/>
      <c r="Q223" s="3">
        <v>3.0990000000000002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95</v>
      </c>
      <c r="O224" s="3"/>
      <c r="P224" s="3"/>
      <c r="Q224" s="3">
        <v>3.0990000000000002</v>
      </c>
      <c r="R224" s="3" t="s">
        <v>15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98</v>
      </c>
      <c r="O225" s="3"/>
      <c r="P225" s="3"/>
      <c r="Q225" s="3">
        <v>14.427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88.727000000000004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96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171</v>
      </c>
      <c r="D230" s="3"/>
      <c r="E230" s="3" t="s">
        <v>171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171</v>
      </c>
      <c r="D231" s="3"/>
      <c r="E231" s="3" t="s">
        <v>171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94</v>
      </c>
      <c r="O231" s="3"/>
      <c r="P231" s="3"/>
      <c r="Q231" s="3">
        <v>0.51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172</v>
      </c>
      <c r="D232" s="3"/>
      <c r="E232" s="3" t="s">
        <v>172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174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177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92</v>
      </c>
      <c r="O234" s="3"/>
      <c r="P234" s="3"/>
      <c r="Q234" s="3">
        <v>0.50700000000000001</v>
      </c>
      <c r="R234" s="3" t="s">
        <v>93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97</v>
      </c>
      <c r="O235" s="3"/>
      <c r="P235" s="3"/>
      <c r="Q235" s="3">
        <v>3.4039999999999999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95</v>
      </c>
      <c r="O236" s="3"/>
      <c r="P236" s="3"/>
      <c r="Q236" s="3">
        <v>3.4039999999999999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98</v>
      </c>
      <c r="O237" s="3"/>
      <c r="P237" s="3"/>
      <c r="Q237" s="3">
        <v>15.037000000000001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92.475999999999999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96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175</v>
      </c>
      <c r="D243" s="3"/>
      <c r="E243" s="3" t="s">
        <v>175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94</v>
      </c>
      <c r="O243" s="3"/>
      <c r="P243" s="3"/>
      <c r="Q243" s="3">
        <v>0.55500000000000005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176</v>
      </c>
      <c r="D244" s="3"/>
      <c r="E244" s="3" t="s">
        <v>176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178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179</v>
      </c>
      <c r="D245" s="3"/>
      <c r="E245" s="3" t="s">
        <v>179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181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179</v>
      </c>
      <c r="D246" s="3"/>
      <c r="E246" s="3" t="s">
        <v>179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92</v>
      </c>
      <c r="O246" s="3"/>
      <c r="P246" s="3"/>
      <c r="Q246" s="3">
        <v>0.55400000000000005</v>
      </c>
      <c r="R246" s="3" t="s">
        <v>93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179</v>
      </c>
      <c r="D247" s="3"/>
      <c r="E247" s="3" t="s">
        <v>179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97</v>
      </c>
      <c r="O247" s="3"/>
      <c r="P247" s="3"/>
      <c r="Q247" s="3">
        <v>3.7080000000000002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179</v>
      </c>
      <c r="D248" s="3"/>
      <c r="E248" s="3" t="s">
        <v>179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95</v>
      </c>
      <c r="O248" s="3"/>
      <c r="P248" s="3"/>
      <c r="Q248" s="3">
        <v>3.7080000000000002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179</v>
      </c>
      <c r="D249" s="3"/>
      <c r="E249" s="3" t="s">
        <v>179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98</v>
      </c>
      <c r="O249" s="3"/>
      <c r="P249" s="3"/>
      <c r="Q249" s="3">
        <v>15.646000000000001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179</v>
      </c>
      <c r="D250" s="3"/>
      <c r="E250" s="3" t="s">
        <v>179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96.224999999999994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179</v>
      </c>
      <c r="D251" s="3"/>
      <c r="E251" s="3" t="s">
        <v>179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96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179</v>
      </c>
      <c r="D252" s="3"/>
      <c r="E252" s="3" t="s">
        <v>179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179</v>
      </c>
      <c r="D253" s="3"/>
      <c r="E253" s="3" t="s">
        <v>179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179</v>
      </c>
      <c r="D254" s="3"/>
      <c r="E254" s="3" t="s">
        <v>179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179</v>
      </c>
      <c r="D255" s="3"/>
      <c r="E255" s="3" t="s">
        <v>179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94</v>
      </c>
      <c r="O255" s="3"/>
      <c r="P255" s="3"/>
      <c r="Q255" s="3">
        <v>0.60099999999999998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180</v>
      </c>
      <c r="D256" s="3"/>
      <c r="E256" s="3" t="s">
        <v>180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182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183</v>
      </c>
      <c r="D257" s="3"/>
      <c r="E257" s="3" t="s">
        <v>183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185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183</v>
      </c>
      <c r="D258" s="3"/>
      <c r="E258" s="3" t="s">
        <v>183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92</v>
      </c>
      <c r="O258" s="3"/>
      <c r="P258" s="3"/>
      <c r="Q258" s="3">
        <v>0.23200000000000001</v>
      </c>
      <c r="R258" s="3" t="s">
        <v>93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183</v>
      </c>
      <c r="D259" s="3"/>
      <c r="E259" s="3" t="s">
        <v>183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97</v>
      </c>
      <c r="O259" s="3"/>
      <c r="P259" s="3"/>
      <c r="Q259" s="3">
        <v>2.0569999999999999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183</v>
      </c>
      <c r="D260" s="3"/>
      <c r="E260" s="3" t="s">
        <v>183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95</v>
      </c>
      <c r="O260" s="3"/>
      <c r="P260" s="3"/>
      <c r="Q260" s="3">
        <v>2.0569999999999999</v>
      </c>
      <c r="R260" s="3" t="s">
        <v>15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183</v>
      </c>
      <c r="D261" s="3"/>
      <c r="E261" s="3" t="s">
        <v>183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98</v>
      </c>
      <c r="O261" s="3"/>
      <c r="P261" s="3"/>
      <c r="Q261" s="3">
        <v>11.582000000000001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183</v>
      </c>
      <c r="D262" s="3"/>
      <c r="E262" s="3" t="s">
        <v>183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71.231999999999999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183</v>
      </c>
      <c r="D263" s="3"/>
      <c r="E263" s="3" t="s">
        <v>183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96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183</v>
      </c>
      <c r="D264" s="3"/>
      <c r="E264" s="3" t="s">
        <v>183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183</v>
      </c>
      <c r="D265" s="3"/>
      <c r="E265" s="3" t="s">
        <v>183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183</v>
      </c>
      <c r="D266" s="3"/>
      <c r="E266" s="3" t="s">
        <v>183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183</v>
      </c>
      <c r="D267" s="3"/>
      <c r="E267" s="3" t="s">
        <v>183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94</v>
      </c>
      <c r="O267" s="3"/>
      <c r="P267" s="3"/>
      <c r="Q267" s="3">
        <v>0.66100000000000003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184</v>
      </c>
      <c r="D268" s="3"/>
      <c r="E268" s="3" t="s">
        <v>184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186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187</v>
      </c>
      <c r="D269" s="3"/>
      <c r="E269" s="3" t="s">
        <v>187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189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187</v>
      </c>
      <c r="D270" s="3"/>
      <c r="E270" s="3" t="s">
        <v>187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92</v>
      </c>
      <c r="O270" s="3"/>
      <c r="P270" s="3"/>
      <c r="Q270" s="3">
        <v>0.28000000000000003</v>
      </c>
      <c r="R270" s="3" t="s">
        <v>93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187</v>
      </c>
      <c r="D271" s="3"/>
      <c r="E271" s="3" t="s">
        <v>187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97</v>
      </c>
      <c r="O271" s="3"/>
      <c r="P271" s="3"/>
      <c r="Q271" s="3">
        <v>2.0569999999999999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187</v>
      </c>
      <c r="D272" s="3"/>
      <c r="E272" s="3" t="s">
        <v>187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95</v>
      </c>
      <c r="O272" s="3"/>
      <c r="P272" s="3"/>
      <c r="Q272" s="3">
        <v>2.0569999999999999</v>
      </c>
      <c r="R272" s="3" t="s">
        <v>15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187</v>
      </c>
      <c r="D273" s="3"/>
      <c r="E273" s="3" t="s">
        <v>187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98</v>
      </c>
      <c r="O273" s="3"/>
      <c r="P273" s="3"/>
      <c r="Q273" s="3">
        <v>12.192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187</v>
      </c>
      <c r="D274" s="3"/>
      <c r="E274" s="3" t="s">
        <v>187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74.980999999999995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187</v>
      </c>
      <c r="D275" s="3"/>
      <c r="E275" s="3" t="s">
        <v>187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96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187</v>
      </c>
      <c r="D276" s="3"/>
      <c r="E276" s="3" t="s">
        <v>187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187</v>
      </c>
      <c r="D277" s="3"/>
      <c r="E277" s="3" t="s">
        <v>187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187</v>
      </c>
      <c r="D278" s="3"/>
      <c r="E278" s="3" t="s">
        <v>187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187</v>
      </c>
      <c r="D279" s="3"/>
      <c r="E279" s="3" t="s">
        <v>187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94</v>
      </c>
      <c r="O279" s="3"/>
      <c r="P279" s="3"/>
      <c r="Q279" s="3">
        <v>0.66100000000000003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188</v>
      </c>
      <c r="D280" s="3"/>
      <c r="E280" s="3" t="s">
        <v>188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190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191</v>
      </c>
      <c r="D281" s="3"/>
      <c r="E281" s="3" t="s">
        <v>191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193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191</v>
      </c>
      <c r="D282" s="3"/>
      <c r="E282" s="3" t="s">
        <v>191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92</v>
      </c>
      <c r="O282" s="3"/>
      <c r="P282" s="3"/>
      <c r="Q282" s="3">
        <v>0.32800000000000001</v>
      </c>
      <c r="R282" s="3" t="s">
        <v>93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191</v>
      </c>
      <c r="D283" s="3"/>
      <c r="E283" s="3" t="s">
        <v>191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97</v>
      </c>
      <c r="O283" s="3"/>
      <c r="P283" s="3"/>
      <c r="Q283" s="3">
        <v>4.1150000000000002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191</v>
      </c>
      <c r="D284" s="3"/>
      <c r="E284" s="3" t="s">
        <v>191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95</v>
      </c>
      <c r="O284" s="3"/>
      <c r="P284" s="3"/>
      <c r="Q284" s="3">
        <v>4.1150000000000002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191</v>
      </c>
      <c r="D285" s="3"/>
      <c r="E285" s="3" t="s">
        <v>191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98</v>
      </c>
      <c r="O285" s="3"/>
      <c r="P285" s="3"/>
      <c r="Q285" s="3">
        <v>12.802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191</v>
      </c>
      <c r="D286" s="3"/>
      <c r="E286" s="3" t="s">
        <v>191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78.73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191</v>
      </c>
      <c r="D287" s="3"/>
      <c r="E287" s="3" t="s">
        <v>191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96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191</v>
      </c>
      <c r="D288" s="3"/>
      <c r="E288" s="3" t="s">
        <v>191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191</v>
      </c>
      <c r="D289" s="3"/>
      <c r="E289" s="3" t="s">
        <v>191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191</v>
      </c>
      <c r="D290" s="3"/>
      <c r="E290" s="3" t="s">
        <v>191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191</v>
      </c>
      <c r="D291" s="3"/>
      <c r="E291" s="3" t="s">
        <v>191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94</v>
      </c>
      <c r="O291" s="3"/>
      <c r="P291" s="3"/>
      <c r="Q291" s="3">
        <v>0.66100000000000003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192</v>
      </c>
      <c r="D292" s="3"/>
      <c r="E292" s="3" t="s">
        <v>192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194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195</v>
      </c>
      <c r="D293" s="3"/>
      <c r="E293" s="3" t="s">
        <v>195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197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195</v>
      </c>
      <c r="D294" s="3"/>
      <c r="E294" s="3" t="s">
        <v>195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92</v>
      </c>
      <c r="O294" s="3"/>
      <c r="P294" s="3"/>
      <c r="Q294" s="3">
        <v>0.376</v>
      </c>
      <c r="R294" s="3" t="s">
        <v>93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195</v>
      </c>
      <c r="D295" s="3"/>
      <c r="E295" s="3" t="s">
        <v>195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97</v>
      </c>
      <c r="O295" s="3"/>
      <c r="P295" s="3"/>
      <c r="Q295" s="3">
        <v>4.1150000000000002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195</v>
      </c>
      <c r="D296" s="3"/>
      <c r="E296" s="3" t="s">
        <v>195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95</v>
      </c>
      <c r="O296" s="3"/>
      <c r="P296" s="3"/>
      <c r="Q296" s="3">
        <v>4.1150000000000002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195</v>
      </c>
      <c r="D297" s="3"/>
      <c r="E297" s="3" t="s">
        <v>195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98</v>
      </c>
      <c r="O297" s="3"/>
      <c r="P297" s="3"/>
      <c r="Q297" s="3">
        <v>13.411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195</v>
      </c>
      <c r="D298" s="3"/>
      <c r="E298" s="3" t="s">
        <v>195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82.478999999999999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195</v>
      </c>
      <c r="D299" s="3"/>
      <c r="E299" s="3" t="s">
        <v>195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96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195</v>
      </c>
      <c r="D300" s="3"/>
      <c r="E300" s="3" t="s">
        <v>195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195</v>
      </c>
      <c r="D301" s="3"/>
      <c r="E301" s="3" t="s">
        <v>195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195</v>
      </c>
      <c r="D302" s="3"/>
      <c r="E302" s="3" t="s">
        <v>195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195</v>
      </c>
      <c r="D303" s="3"/>
      <c r="E303" s="3" t="s">
        <v>195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94</v>
      </c>
      <c r="O303" s="3"/>
      <c r="P303" s="3"/>
      <c r="Q303" s="3">
        <v>0.66100000000000003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196</v>
      </c>
      <c r="D304" s="3"/>
      <c r="E304" s="3" t="s">
        <v>196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198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199</v>
      </c>
      <c r="D305" s="3"/>
      <c r="E305" s="3" t="s">
        <v>199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201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199</v>
      </c>
      <c r="D306" s="3"/>
      <c r="E306" s="3" t="s">
        <v>199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92</v>
      </c>
      <c r="O306" s="3"/>
      <c r="P306" s="3"/>
      <c r="Q306" s="3">
        <v>0.47199999999999998</v>
      </c>
      <c r="R306" s="3" t="s">
        <v>93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199</v>
      </c>
      <c r="D307" s="3"/>
      <c r="E307" s="3" t="s">
        <v>199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97</v>
      </c>
      <c r="O307" s="3"/>
      <c r="P307" s="3"/>
      <c r="Q307" s="3">
        <v>4.1150000000000002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199</v>
      </c>
      <c r="D308" s="3"/>
      <c r="E308" s="3" t="s">
        <v>199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95</v>
      </c>
      <c r="O308" s="3"/>
      <c r="P308" s="3"/>
      <c r="Q308" s="3">
        <v>4.1150000000000002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199</v>
      </c>
      <c r="D309" s="3"/>
      <c r="E309" s="3" t="s">
        <v>199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98</v>
      </c>
      <c r="O309" s="3"/>
      <c r="P309" s="3"/>
      <c r="Q309" s="3">
        <v>14.63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199</v>
      </c>
      <c r="D310" s="3"/>
      <c r="E310" s="3" t="s">
        <v>199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89.977000000000004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199</v>
      </c>
      <c r="D311" s="3"/>
      <c r="E311" s="3" t="s">
        <v>199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96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199</v>
      </c>
      <c r="D312" s="3"/>
      <c r="E312" s="3" t="s">
        <v>199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199</v>
      </c>
      <c r="D313" s="3"/>
      <c r="E313" s="3" t="s">
        <v>199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199</v>
      </c>
      <c r="D314" s="3"/>
      <c r="E314" s="3" t="s">
        <v>199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199</v>
      </c>
      <c r="D315" s="3"/>
      <c r="E315" s="3" t="s">
        <v>199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94</v>
      </c>
      <c r="O315" s="3"/>
      <c r="P315" s="3"/>
      <c r="Q315" s="3">
        <v>0.66100000000000003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200</v>
      </c>
      <c r="D316" s="3"/>
      <c r="E316" s="3" t="s">
        <v>200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202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203</v>
      </c>
      <c r="D317" s="3"/>
      <c r="E317" s="3" t="s">
        <v>203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205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203</v>
      </c>
      <c r="D318" s="3"/>
      <c r="E318" s="3" t="s">
        <v>203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92</v>
      </c>
      <c r="O318" s="3"/>
      <c r="P318" s="3"/>
      <c r="Q318" s="3">
        <v>0.52</v>
      </c>
      <c r="R318" s="3" t="s">
        <v>93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203</v>
      </c>
      <c r="D319" s="3"/>
      <c r="E319" s="3" t="s">
        <v>203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97</v>
      </c>
      <c r="O319" s="3"/>
      <c r="P319" s="3"/>
      <c r="Q319" s="3">
        <v>4.1150000000000002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203</v>
      </c>
      <c r="D320" s="3"/>
      <c r="E320" s="3" t="s">
        <v>203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95</v>
      </c>
      <c r="O320" s="3"/>
      <c r="P320" s="3"/>
      <c r="Q320" s="3">
        <v>4.1150000000000002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203</v>
      </c>
      <c r="D321" s="3"/>
      <c r="E321" s="3" t="s">
        <v>203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98</v>
      </c>
      <c r="O321" s="3"/>
      <c r="P321" s="3"/>
      <c r="Q321" s="3">
        <v>15.24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203</v>
      </c>
      <c r="D322" s="3"/>
      <c r="E322" s="3" t="s">
        <v>203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93.725999999999999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203</v>
      </c>
      <c r="D323" s="3"/>
      <c r="E323" s="3" t="s">
        <v>203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96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203</v>
      </c>
      <c r="D324" s="3"/>
      <c r="E324" s="3" t="s">
        <v>203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203</v>
      </c>
      <c r="D325" s="3"/>
      <c r="E325" s="3" t="s">
        <v>203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203</v>
      </c>
      <c r="D326" s="3"/>
      <c r="E326" s="3" t="s">
        <v>203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203</v>
      </c>
      <c r="D327" s="3"/>
      <c r="E327" s="3" t="s">
        <v>203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94</v>
      </c>
      <c r="O327" s="3"/>
      <c r="P327" s="3"/>
      <c r="Q327" s="3">
        <v>0.66100000000000003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204</v>
      </c>
      <c r="D328" s="3"/>
      <c r="E328" s="3" t="s">
        <v>204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206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207</v>
      </c>
      <c r="D329" s="3"/>
      <c r="E329" s="3" t="s">
        <v>207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209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207</v>
      </c>
      <c r="D330" s="3"/>
      <c r="E330" s="3" t="s">
        <v>207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92</v>
      </c>
      <c r="O330" s="3"/>
      <c r="P330" s="3"/>
      <c r="Q330" s="3">
        <v>0.56799999999999995</v>
      </c>
      <c r="R330" s="3" t="s">
        <v>93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207</v>
      </c>
      <c r="D331" s="3"/>
      <c r="E331" s="3" t="s">
        <v>207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97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207</v>
      </c>
      <c r="D332" s="3"/>
      <c r="E332" s="3" t="s">
        <v>207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95</v>
      </c>
      <c r="O332" s="3"/>
      <c r="P332" s="3"/>
      <c r="Q332" s="3">
        <v>4.1150000000000002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207</v>
      </c>
      <c r="D333" s="3"/>
      <c r="E333" s="3" t="s">
        <v>207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98</v>
      </c>
      <c r="O333" s="3"/>
      <c r="P333" s="3"/>
      <c r="Q333" s="3">
        <v>15.85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207</v>
      </c>
      <c r="D334" s="3"/>
      <c r="E334" s="3" t="s">
        <v>207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97.474999999999994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207</v>
      </c>
      <c r="D335" s="3"/>
      <c r="E335" s="3" t="s">
        <v>207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96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207</v>
      </c>
      <c r="D336" s="3"/>
      <c r="E336" s="3" t="s">
        <v>207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207</v>
      </c>
      <c r="D337" s="3"/>
      <c r="E337" s="3" t="s">
        <v>207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207</v>
      </c>
      <c r="D338" s="3"/>
      <c r="E338" s="3" t="s">
        <v>207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207</v>
      </c>
      <c r="D339" s="3"/>
      <c r="E339" s="3" t="s">
        <v>207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94</v>
      </c>
      <c r="O339" s="3"/>
      <c r="P339" s="3"/>
      <c r="Q339" s="3">
        <v>0.66100000000000003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208</v>
      </c>
      <c r="D340" s="3"/>
      <c r="E340" s="3" t="s">
        <v>208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210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211</v>
      </c>
      <c r="D341" s="3"/>
      <c r="E341" s="3" t="s">
        <v>211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213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211</v>
      </c>
      <c r="D342" s="3"/>
      <c r="E342" s="3" t="s">
        <v>211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92</v>
      </c>
      <c r="O342" s="3"/>
      <c r="P342" s="3"/>
      <c r="Q342" s="3">
        <v>0.24399999999999999</v>
      </c>
      <c r="R342" s="3" t="s">
        <v>93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211</v>
      </c>
      <c r="D343" s="3"/>
      <c r="E343" s="3" t="s">
        <v>211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97</v>
      </c>
      <c r="O343" s="3"/>
      <c r="P343" s="3"/>
      <c r="Q343" s="3">
        <v>2.1589999999999998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211</v>
      </c>
      <c r="D344" s="3"/>
      <c r="E344" s="3" t="s">
        <v>211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95</v>
      </c>
      <c r="O344" s="3"/>
      <c r="P344" s="3"/>
      <c r="Q344" s="3">
        <v>2.1589999999999998</v>
      </c>
      <c r="R344" s="3" t="s">
        <v>15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211</v>
      </c>
      <c r="D345" s="3"/>
      <c r="E345" s="3" t="s">
        <v>211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98</v>
      </c>
      <c r="O345" s="3"/>
      <c r="P345" s="3"/>
      <c r="Q345" s="3">
        <v>11.989000000000001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211</v>
      </c>
      <c r="D346" s="3"/>
      <c r="E346" s="3" t="s">
        <v>211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73.730999999999995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211</v>
      </c>
      <c r="D347" s="3"/>
      <c r="E347" s="3" t="s">
        <v>211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96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211</v>
      </c>
      <c r="D348" s="3"/>
      <c r="E348" s="3" t="s">
        <v>211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211</v>
      </c>
      <c r="D349" s="3"/>
      <c r="E349" s="3" t="s">
        <v>211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211</v>
      </c>
      <c r="D350" s="3"/>
      <c r="E350" s="3" t="s">
        <v>211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211</v>
      </c>
      <c r="D351" s="3"/>
      <c r="E351" s="3" t="s">
        <v>211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94</v>
      </c>
      <c r="O351" s="3"/>
      <c r="P351" s="3"/>
      <c r="Q351" s="3">
        <v>0.69099999999999995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212</v>
      </c>
      <c r="D352" s="3"/>
      <c r="E352" s="3" t="s">
        <v>212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214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215</v>
      </c>
      <c r="D353" s="3"/>
      <c r="E353" s="3" t="s">
        <v>215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217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215</v>
      </c>
      <c r="D354" s="3"/>
      <c r="E354" s="3" t="s">
        <v>215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92</v>
      </c>
      <c r="O354" s="3"/>
      <c r="P354" s="3"/>
      <c r="Q354" s="3">
        <v>0.29399999999999998</v>
      </c>
      <c r="R354" s="3" t="s">
        <v>93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215</v>
      </c>
      <c r="D355" s="3"/>
      <c r="E355" s="3" t="s">
        <v>215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97</v>
      </c>
      <c r="O355" s="3"/>
      <c r="P355" s="3"/>
      <c r="Q355" s="3">
        <v>2.1589999999999998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215</v>
      </c>
      <c r="D356" s="3"/>
      <c r="E356" s="3" t="s">
        <v>215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95</v>
      </c>
      <c r="O356" s="3"/>
      <c r="P356" s="3"/>
      <c r="Q356" s="3">
        <v>2.1589999999999998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215</v>
      </c>
      <c r="D357" s="3"/>
      <c r="E357" s="3" t="s">
        <v>215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98</v>
      </c>
      <c r="O357" s="3"/>
      <c r="P357" s="3"/>
      <c r="Q357" s="3">
        <v>12.598000000000001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215</v>
      </c>
      <c r="D358" s="3"/>
      <c r="E358" s="3" t="s">
        <v>215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77.48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215</v>
      </c>
      <c r="D359" s="3"/>
      <c r="E359" s="3" t="s">
        <v>215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96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215</v>
      </c>
      <c r="D360" s="3"/>
      <c r="E360" s="3" t="s">
        <v>215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215</v>
      </c>
      <c r="D361" s="3"/>
      <c r="E361" s="3" t="s">
        <v>215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215</v>
      </c>
      <c r="D362" s="3"/>
      <c r="E362" s="3" t="s">
        <v>215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215</v>
      </c>
      <c r="D363" s="3"/>
      <c r="E363" s="3" t="s">
        <v>215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94</v>
      </c>
      <c r="O363" s="3"/>
      <c r="P363" s="3"/>
      <c r="Q363" s="3">
        <v>0.69099999999999995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216</v>
      </c>
      <c r="D364" s="3"/>
      <c r="E364" s="3" t="s">
        <v>216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218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219</v>
      </c>
      <c r="D365" s="3"/>
      <c r="E365" s="3" t="s">
        <v>219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221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219</v>
      </c>
      <c r="D366" s="3"/>
      <c r="E366" s="3" t="s">
        <v>219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92</v>
      </c>
      <c r="O366" s="3"/>
      <c r="P366" s="3"/>
      <c r="Q366" s="3">
        <v>0.34499999999999997</v>
      </c>
      <c r="R366" s="3" t="s">
        <v>93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219</v>
      </c>
      <c r="D367" s="3"/>
      <c r="E367" s="3" t="s">
        <v>219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97</v>
      </c>
      <c r="O367" s="3"/>
      <c r="P367" s="3"/>
      <c r="Q367" s="3">
        <v>4.3179999999999996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219</v>
      </c>
      <c r="D368" s="3"/>
      <c r="E368" s="3" t="s">
        <v>219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95</v>
      </c>
      <c r="O368" s="3"/>
      <c r="P368" s="3"/>
      <c r="Q368" s="3">
        <v>4.3179999999999996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219</v>
      </c>
      <c r="D369" s="3"/>
      <c r="E369" s="3" t="s">
        <v>219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98</v>
      </c>
      <c r="O369" s="3"/>
      <c r="P369" s="3"/>
      <c r="Q369" s="3">
        <v>13.208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219</v>
      </c>
      <c r="D370" s="3"/>
      <c r="E370" s="3" t="s">
        <v>219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81.228999999999999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219</v>
      </c>
      <c r="D371" s="3"/>
      <c r="E371" s="3" t="s">
        <v>219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96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219</v>
      </c>
      <c r="D372" s="3"/>
      <c r="E372" s="3" t="s">
        <v>219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219</v>
      </c>
      <c r="D373" s="3"/>
      <c r="E373" s="3" t="s">
        <v>219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219</v>
      </c>
      <c r="D374" s="3"/>
      <c r="E374" s="3" t="s">
        <v>219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219</v>
      </c>
      <c r="D375" s="3"/>
      <c r="E375" s="3" t="s">
        <v>219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94</v>
      </c>
      <c r="O375" s="3"/>
      <c r="P375" s="3"/>
      <c r="Q375" s="3">
        <v>0.69099999999999995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220</v>
      </c>
      <c r="D376" s="3"/>
      <c r="E376" s="3" t="s">
        <v>220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222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223</v>
      </c>
      <c r="D377" s="3"/>
      <c r="E377" s="3" t="s">
        <v>223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225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223</v>
      </c>
      <c r="D378" s="3"/>
      <c r="E378" s="3" t="s">
        <v>223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92</v>
      </c>
      <c r="O378" s="3"/>
      <c r="P378" s="3"/>
      <c r="Q378" s="3">
        <v>0.39500000000000002</v>
      </c>
      <c r="R378" s="3" t="s">
        <v>93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223</v>
      </c>
      <c r="D379" s="3"/>
      <c r="E379" s="3" t="s">
        <v>223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97</v>
      </c>
      <c r="O379" s="3"/>
      <c r="P379" s="3"/>
      <c r="Q379" s="3">
        <v>4.3179999999999996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223</v>
      </c>
      <c r="D380" s="3"/>
      <c r="E380" s="3" t="s">
        <v>223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95</v>
      </c>
      <c r="O380" s="3"/>
      <c r="P380" s="3"/>
      <c r="Q380" s="3">
        <v>4.3179999999999996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223</v>
      </c>
      <c r="D381" s="3"/>
      <c r="E381" s="3" t="s">
        <v>223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98</v>
      </c>
      <c r="O381" s="3"/>
      <c r="P381" s="3"/>
      <c r="Q381" s="3">
        <v>13.818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223</v>
      </c>
      <c r="D382" s="3"/>
      <c r="E382" s="3" t="s">
        <v>223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84.977999999999994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223</v>
      </c>
      <c r="D383" s="3"/>
      <c r="E383" s="3" t="s">
        <v>223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96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223</v>
      </c>
      <c r="D384" s="3"/>
      <c r="E384" s="3" t="s">
        <v>223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223</v>
      </c>
      <c r="D385" s="3"/>
      <c r="E385" s="3" t="s">
        <v>223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223</v>
      </c>
      <c r="D386" s="3"/>
      <c r="E386" s="3" t="s">
        <v>223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223</v>
      </c>
      <c r="D387" s="3"/>
      <c r="E387" s="3" t="s">
        <v>223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94</v>
      </c>
      <c r="O387" s="3"/>
      <c r="P387" s="3"/>
      <c r="Q387" s="3">
        <v>0.69099999999999995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224</v>
      </c>
      <c r="D388" s="3"/>
      <c r="E388" s="3" t="s">
        <v>224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226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227</v>
      </c>
      <c r="D389" s="3"/>
      <c r="E389" s="3" t="s">
        <v>227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229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227</v>
      </c>
      <c r="D390" s="3"/>
      <c r="E390" s="3" t="s">
        <v>227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92</v>
      </c>
      <c r="O390" s="3"/>
      <c r="P390" s="3"/>
      <c r="Q390" s="3">
        <v>0.496</v>
      </c>
      <c r="R390" s="3" t="s">
        <v>93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227</v>
      </c>
      <c r="D391" s="3"/>
      <c r="E391" s="3" t="s">
        <v>227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97</v>
      </c>
      <c r="O391" s="3"/>
      <c r="P391" s="3"/>
      <c r="Q391" s="3">
        <v>4.3179999999999996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227</v>
      </c>
      <c r="D392" s="3"/>
      <c r="E392" s="3" t="s">
        <v>227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95</v>
      </c>
      <c r="O392" s="3"/>
      <c r="P392" s="3"/>
      <c r="Q392" s="3">
        <v>4.3179999999999996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227</v>
      </c>
      <c r="D393" s="3"/>
      <c r="E393" s="3" t="s">
        <v>227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98</v>
      </c>
      <c r="O393" s="3"/>
      <c r="P393" s="3"/>
      <c r="Q393" s="3">
        <v>15.037000000000001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227</v>
      </c>
      <c r="D394" s="3"/>
      <c r="E394" s="3" t="s">
        <v>227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92.475999999999999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227</v>
      </c>
      <c r="D395" s="3"/>
      <c r="E395" s="3" t="s">
        <v>227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96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227</v>
      </c>
      <c r="D396" s="3"/>
      <c r="E396" s="3" t="s">
        <v>227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227</v>
      </c>
      <c r="D397" s="3"/>
      <c r="E397" s="3" t="s">
        <v>227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227</v>
      </c>
      <c r="D398" s="3"/>
      <c r="E398" s="3" t="s">
        <v>227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227</v>
      </c>
      <c r="D399" s="3"/>
      <c r="E399" s="3" t="s">
        <v>227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94</v>
      </c>
      <c r="O399" s="3"/>
      <c r="P399" s="3"/>
      <c r="Q399" s="3">
        <v>0.69099999999999995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228</v>
      </c>
      <c r="D400" s="3"/>
      <c r="E400" s="3" t="s">
        <v>228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230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231</v>
      </c>
      <c r="D401" s="3"/>
      <c r="E401" s="3" t="s">
        <v>231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233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231</v>
      </c>
      <c r="D402" s="3"/>
      <c r="E402" s="3" t="s">
        <v>231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92</v>
      </c>
      <c r="O402" s="3"/>
      <c r="P402" s="3"/>
      <c r="Q402" s="3">
        <v>0.54600000000000004</v>
      </c>
      <c r="R402" s="3" t="s">
        <v>93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231</v>
      </c>
      <c r="D403" s="3"/>
      <c r="E403" s="3" t="s">
        <v>231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97</v>
      </c>
      <c r="O403" s="3"/>
      <c r="P403" s="3"/>
      <c r="Q403" s="3">
        <v>4.3179999999999996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231</v>
      </c>
      <c r="D404" s="3"/>
      <c r="E404" s="3" t="s">
        <v>231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95</v>
      </c>
      <c r="O404" s="3"/>
      <c r="P404" s="3"/>
      <c r="Q404" s="3">
        <v>4.3179999999999996</v>
      </c>
      <c r="R404" s="3" t="s">
        <v>15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231</v>
      </c>
      <c r="D405" s="3"/>
      <c r="E405" s="3" t="s">
        <v>231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98</v>
      </c>
      <c r="O405" s="3"/>
      <c r="P405" s="3"/>
      <c r="Q405" s="3">
        <v>15.646000000000001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231</v>
      </c>
      <c r="D406" s="3"/>
      <c r="E406" s="3" t="s">
        <v>231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96.224999999999994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231</v>
      </c>
      <c r="D407" s="3"/>
      <c r="E407" s="3" t="s">
        <v>231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96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231</v>
      </c>
      <c r="D408" s="3"/>
      <c r="E408" s="3" t="s">
        <v>231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231</v>
      </c>
      <c r="D409" s="3"/>
      <c r="E409" s="3" t="s">
        <v>231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231</v>
      </c>
      <c r="D410" s="3"/>
      <c r="E410" s="3" t="s">
        <v>231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231</v>
      </c>
      <c r="D411" s="3"/>
      <c r="E411" s="3" t="s">
        <v>231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94</v>
      </c>
      <c r="O411" s="3"/>
      <c r="P411" s="3"/>
      <c r="Q411" s="3">
        <v>0.69099999999999995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232</v>
      </c>
      <c r="D412" s="3"/>
      <c r="E412" s="3" t="s">
        <v>232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234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237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92</v>
      </c>
      <c r="O414" s="3"/>
      <c r="P414" s="3"/>
      <c r="Q414" s="3">
        <v>0.59699999999999998</v>
      </c>
      <c r="R414" s="3" t="s">
        <v>93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97</v>
      </c>
      <c r="O415" s="3"/>
      <c r="P415" s="3"/>
      <c r="Q415" s="3">
        <v>4.3179999999999996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95</v>
      </c>
      <c r="O416" s="3"/>
      <c r="P416" s="3"/>
      <c r="Q416" s="3">
        <v>4.3179999999999996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98</v>
      </c>
      <c r="O417" s="3"/>
      <c r="P417" s="3"/>
      <c r="Q417" s="3">
        <v>16.256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99.974000000000004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96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94</v>
      </c>
      <c r="O423" s="3"/>
      <c r="P423" s="3"/>
      <c r="Q423" s="3">
        <v>0.69099999999999995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236</v>
      </c>
      <c r="D424" s="3"/>
      <c r="E424" s="3" t="s">
        <v>236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238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2026-06-02T10:19:46Z</dcterms:modified>
</cp:coreProperties>
</file>