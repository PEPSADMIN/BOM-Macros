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5" i="13" l="1"/>
  <c r="E13" i="13" l="1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<sst xmlns="http://schemas.openxmlformats.org/spreadsheetml/2006/main" count="10216" uniqueCount="338">
  <si>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</si>
  <si>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</si>
  <si>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</si>
  <si>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</si>
  <si>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</si>
  <si>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</si>
  <si>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</si>
  <si>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</si>
  <si>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</si>
  <si>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</si>
  <si>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</si>
  <si>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</si>
  <si>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</si>
  <si>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</si>
  <si>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</si>
  <si>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</si>
  <si>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</si>
  <si>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</si>
  <si>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</si>
  <si>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</si>
  <si>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</si>
  <si>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</si>
  <si>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</si>
  <si>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</si>
  <si>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</si>
  <si>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</si>
  <si>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</si>
  <si>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</si>
  <si>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</si>
  <si>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</si>
  <si>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</si>
  <si>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</si>
  <si>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</si>
  <si>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</si>
  <si>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</si>
  <si>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</si>
  <si>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</si>
  <si>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</si>
  <si>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</si>
  <si>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</si>
  <si>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</si>
  <si>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</si>
  <si>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</si>
  <si>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</si>
  <si>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</si>
  <si>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</si>
  <si>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</si>
  <si>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</si>
  <si>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</si>
  <si>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</si>
  <si>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</si>
  <si>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</si>
  <si>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</si>
  <si>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</si>
  <si>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</si>
  <si>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</si>
  <si>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</si>
  <si>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</si>
  <si>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</si>
  <si>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</si>
  <si>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</si>
  <si>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</si>
  <si>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</si>
  <si>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</si>
  <si>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</si>
  <si>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</si>
  <si>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</si>
  <si>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</si>
  <si>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</si>
  <si>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</si>
  <si>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</si>
  <si>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</si>
  <si>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</si>
  <si>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</si>
  <si>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</si>
  <si>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</si>
  <si>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</si>
  <si>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</si>
  <si>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</si>
  <si>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</si>
  <si>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</si>
  <si>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</si>
  <si>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</si>
  <si>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</si>
  <si>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</si>
  <si>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</si>
  <si>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</si>
  <si>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</si>
  <si>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</si>
  <si>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</si>
  <si>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</si>
  <si>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</si>
  <si>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</si>
  <si>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</si>
  <si>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</si>
  <si>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</si>
  <si>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</si>
  <si>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</si>
  <si>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</si>
  <si>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</si>
  <si>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</si>
  <si>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</si>
  <si>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</si>
  <si>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</si>
  <si>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</si>
  <si>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</si>
  <si>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</si>
  <si>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</si>
  <si>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</si>
  <si>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</si>
  <si>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</si>
  <si>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</si>
  <si>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RTHTMTPKMFET72X33X06</t>
  </si>
  <si>
    <t>RML-CS-PL-6.5"</t>
  </si>
  <si>
    <t>RTHTMTPKMFET72X39X06</t>
  </si>
  <si>
    <t>RTHTMTPKMFET72X45X06</t>
  </si>
  <si>
    <t>RTHTMTPKMFET72X51X06</t>
  </si>
  <si>
    <t>RTHTMTPKMFET72X54X06</t>
  </si>
  <si>
    <t>RTHTMTPKMFET72X57X06</t>
  </si>
  <si>
    <t>RTHTMTPKMFET72X63X06</t>
  </si>
  <si>
    <t>RTHTMTPKMFET72X69X06</t>
  </si>
  <si>
    <t>RTHTMTPKMFET75X33X06</t>
  </si>
  <si>
    <t>RTHTMTPKMFET75X39X06</t>
  </si>
  <si>
    <t>RTHTMTPKMFET75X45X06</t>
  </si>
  <si>
    <t>RTHTMTPKMFET75X51X06</t>
  </si>
  <si>
    <t>RTHTMTPKMFET75X54X06</t>
  </si>
  <si>
    <t>RTHTMTPKMFET75X57X06</t>
  </si>
  <si>
    <t>RTHTMTPKMFET75X63X06</t>
  </si>
  <si>
    <t>RTHTMTPKMFET75X69X06</t>
  </si>
  <si>
    <t>RTHTMTPKMFET78X33X06</t>
  </si>
  <si>
    <t>RTHTMTPKMFET78X39X06</t>
  </si>
  <si>
    <t>RTHTMTPKMFET78X45X06</t>
  </si>
  <si>
    <t>RTHTMTPKMFET78X51X06</t>
  </si>
  <si>
    <t>RTHTMTPKMFET78X54X06</t>
  </si>
  <si>
    <t>RTHTMTPKMFET78X57X06</t>
  </si>
  <si>
    <t>RTHTMTPKMFET78X63X06</t>
  </si>
  <si>
    <t>RTHTMTPKMFET78X69X06</t>
  </si>
  <si>
    <t>RTHTMTPKMFET80X33X06</t>
  </si>
  <si>
    <t>RTHTMTPKMFET80X39X06</t>
  </si>
  <si>
    <t>RTHTMTPKMFET80X45X06</t>
  </si>
  <si>
    <t>RTHTMTPKMFET80X51X06</t>
  </si>
  <si>
    <t>RTHTMTPKMFET80X54X06</t>
  </si>
  <si>
    <t>RTHTMTPKMFET80X57X06</t>
  </si>
  <si>
    <t>RTHTMTPKMFET80X63X06</t>
  </si>
  <si>
    <t>RTHTMTPKMFET80X69X06</t>
  </si>
  <si>
    <t>RTHTMTPKMFET84X33X06</t>
  </si>
  <si>
    <t>RTHTMTPKMFET84X39X06</t>
  </si>
  <si>
    <t>RTHTMTPKMFET84X45X06</t>
  </si>
  <si>
    <t>RTHTMTPKMFET84X51X06</t>
  </si>
  <si>
    <t>RTHTMTPKMFET84X54X06</t>
  </si>
  <si>
    <t>RTHTMTPKMFET84X57X06</t>
  </si>
  <si>
    <t>RTHTMTPKMFET84X63X06</t>
  </si>
  <si>
    <t>RTHTMTPKMFET84X69X06</t>
  </si>
  <si>
    <t>60D-MAT-RB-FOAM-71.50X32.50X15MM</t>
  </si>
  <si>
    <t>60D-MAT-RB-FOAM-71.50X38.50X15MM</t>
  </si>
  <si>
    <t>60D-MAT-RB-FOAM-71.50X44.50X15MM</t>
  </si>
  <si>
    <t>60D-MAT-RB-FOAM-71.50X50.50X15MM</t>
  </si>
  <si>
    <t>60D-MAT-RB-FOAM-71.50X53.50X15MM</t>
  </si>
  <si>
    <t>60D-MAT-RB-FOAM-71.50X56.50X15MM</t>
  </si>
  <si>
    <t>60D-MAT-RB-FOAM-71.50X62.50X15MM</t>
  </si>
  <si>
    <t>60D-MAT-RB-FOAM-71.50X68.50X15MM</t>
  </si>
  <si>
    <t>60D-MAT-RB-FOAM-74.50X32.50X15MM</t>
  </si>
  <si>
    <t>60D-MAT-RB-FOAM-74.50X38.50X15MM</t>
  </si>
  <si>
    <t>60D-MAT-RB-FOAM-74.50X44.50X15MM</t>
  </si>
  <si>
    <t>60D-MAT-RB-FOAM-74.50X50.50X15MM</t>
  </si>
  <si>
    <t>60D-MAT-RB-FOAM-74.50X53.50X15MM</t>
  </si>
  <si>
    <t>60D-MAT-RB-FOAM-74.50X56.50X15MM</t>
  </si>
  <si>
    <t>60D-MAT-RB-FOAM-74.50X62.50X15MM</t>
  </si>
  <si>
    <t>60D-MAT-RB-FOAM-74.50X68.50X15MM</t>
  </si>
  <si>
    <t>60D-MAT-RB-FOAM-77.50X32.50X15MM</t>
  </si>
  <si>
    <t>60D-MAT-RB-FOAM-77.50X38.50X15MM</t>
  </si>
  <si>
    <t>60D-MAT-RB-FOAM-77.50X44.50X15MM</t>
  </si>
  <si>
    <t>60D-MAT-RB-FOAM-77.50X50.50X15MM</t>
  </si>
  <si>
    <t>60D-MAT-RB-FOAM-77.50X53.50X15MM</t>
  </si>
  <si>
    <t>60D-MAT-RB-FOAM-77.50X56.50X15MM</t>
  </si>
  <si>
    <t>60D-MAT-RB-FOAM-77.50X62.50X15MM</t>
  </si>
  <si>
    <t>60D-MAT-RB-FOAM-77.50X68.50X15MM</t>
  </si>
  <si>
    <t>60D-MAT-RB-FOAM-79.50X32.50X15MM</t>
  </si>
  <si>
    <t>60D-MAT-RB-FOAM-79.50X38.50X15MM</t>
  </si>
  <si>
    <t>60D-MAT-RB-FOAM-79.50X44.50X15MM</t>
  </si>
  <si>
    <t>60D-MAT-RB-FOAM-79.50X50.50X15MM</t>
  </si>
  <si>
    <t>60D-MAT-RB-FOAM-79.50X53.50X15MM</t>
  </si>
  <si>
    <t>60D-MAT-RB-FOAM-79.50X56.50X15MM</t>
  </si>
  <si>
    <t>60D-MAT-RB-FOAM-79.50X62.50X15MM</t>
  </si>
  <si>
    <t>60D-MAT-RB-FOAM-79.50X68.50X15MM</t>
  </si>
  <si>
    <t>60D-MAT-RB-FOAM-83.50X32.50X15MM</t>
  </si>
  <si>
    <t>60D-MAT-RB-FOAM-83.50X38.50X15MM</t>
  </si>
  <si>
    <t>60D-MAT-RB-FOAM-83.50X44.50X15MM</t>
  </si>
  <si>
    <t>60D-MAT-RB-FOAM-83.50X50.50X15MM</t>
  </si>
  <si>
    <t>60D-MAT-RB-FOAM-83.50X53.50X15MM</t>
  </si>
  <si>
    <t>60D-MAT-RB-FOAM-83.50X56.50X15MM</t>
  </si>
  <si>
    <t>60D-MAT-RB-FOAM-83.50X62.50X15MM</t>
  </si>
  <si>
    <t>60D-MAT-RB-FOAM-83.50X68.50X15MM</t>
  </si>
  <si>
    <t>RTHTMTPKMFET72X30X06</t>
  </si>
  <si>
    <t>60D-MAT-RB-FOAM-71.50X29.50X15MM</t>
  </si>
  <si>
    <t>RTHTMTPKMFET72X36X06</t>
  </si>
  <si>
    <t>60D-MAT-RB-FOAM-71.50X35.50X15MM</t>
  </si>
  <si>
    <t>RTHTMTPKMFET72X42X06</t>
  </si>
  <si>
    <t>60D-MAT-RB-FOAM-71.50X41.50X15MM</t>
  </si>
  <si>
    <t>RTHTMTPKMFET72X48X06</t>
  </si>
  <si>
    <t>60D-MAT-RB-FOAM-71.50X47.50X15MM</t>
  </si>
  <si>
    <t>RTHTMTPKMFET72X60X06</t>
  </si>
  <si>
    <t>60D-MAT-RB-FOAM-71.50X59.50X15MM</t>
  </si>
  <si>
    <t>RTHTMTPKMFET72X66X06</t>
  </si>
  <si>
    <t>60D-MAT-RB-FOAM-71.50X65.50X15MM</t>
  </si>
  <si>
    <t>RTHTMTPKMFET72X72X06</t>
  </si>
  <si>
    <t>60D-MAT-RB-FOAM-71.50X71.50X15MM</t>
  </si>
  <si>
    <t>RTHTMTPKMFET75X30X06</t>
  </si>
  <si>
    <t>60D-MAT-RB-FOAM-74.50X29.50X15MM</t>
  </si>
  <si>
    <t>RTHTMTPKMFET75X36X06</t>
  </si>
  <si>
    <t>60D-MAT-RB-FOAM-74.50X35.50X15MM</t>
  </si>
  <si>
    <t>RTHTMTPKMFET75X42X06</t>
  </si>
  <si>
    <t>60D-MAT-RB-FOAM-74.50X41.50X15MM</t>
  </si>
  <si>
    <t>RTHTMTPKMFET75X48X06</t>
  </si>
  <si>
    <t>60D-MAT-RB-FOAM-74.50X47.50X15MM</t>
  </si>
  <si>
    <t>RTHTMTPKMFET75X60X06</t>
  </si>
  <si>
    <t>60D-MAT-RB-FOAM-74.50X59.50X15MM</t>
  </si>
  <si>
    <t>RTHTMTPKMFET75X66X06</t>
  </si>
  <si>
    <t>60D-MAT-RB-FOAM-74.50X65.50X15MM</t>
  </si>
  <si>
    <t>RTHTMTPKMFET75X72X06</t>
  </si>
  <si>
    <t>60D-MAT-RB-FOAM-74.50X71.50X15MM</t>
  </si>
  <si>
    <t>RTHTMTPKMFET78X30X06</t>
  </si>
  <si>
    <t>60D-MAT-RB-FOAM-77.50X29.50X15MM</t>
  </si>
  <si>
    <t>RTHTMTPKMFET78X36X06</t>
  </si>
  <si>
    <t>60D-MAT-RB-FOAM-77.50X35.50X15MM</t>
  </si>
  <si>
    <t>RTHTMTPKMFET78X42X06</t>
  </si>
  <si>
    <t>60D-MAT-RB-FOAM-77.50X41.50X15MM</t>
  </si>
  <si>
    <t>RTHTMTPKMFET78X48X06</t>
  </si>
  <si>
    <t>60D-MAT-RB-FOAM-77.50X47.50X15MM</t>
  </si>
  <si>
    <t>RTHTMTPKMFET78X60X06</t>
  </si>
  <si>
    <t>60D-MAT-RB-FOAM-77.50X59.50X15MM</t>
  </si>
  <si>
    <t>RTHTMTPKMFET78X66X06</t>
  </si>
  <si>
    <t>60D-MAT-RB-FOAM-77.50X65.50X15MM</t>
  </si>
  <si>
    <t>RTHTMTPKMFET78X72X06</t>
  </si>
  <si>
    <t>60D-MAT-RB-FOAM-77.50X71.50X15MM</t>
  </si>
  <si>
    <t>RTHTMTPKMFET80X30X06</t>
  </si>
  <si>
    <t>60D-MAT-RB-FOAM-79.50X29.50X15MM</t>
  </si>
  <si>
    <t>RTHTMTPKMFET80X36X06</t>
  </si>
  <si>
    <t>60D-MAT-RB-FOAM-79.50X35.50X15MM</t>
  </si>
  <si>
    <t>RTHTMTPKMFET80X42X06</t>
  </si>
  <si>
    <t>60D-MAT-RB-FOAM-79.50X41.50X15MM</t>
  </si>
  <si>
    <t>RTHTMTPKMFET80X48X06</t>
  </si>
  <si>
    <t>60D-MAT-RB-FOAM-79.50X47.50X15MM</t>
  </si>
  <si>
    <t>RTHTMTPKMFET80X60X06</t>
  </si>
  <si>
    <t>60D-MAT-RB-FOAM-79.50X59.50X15MM</t>
  </si>
  <si>
    <t>RTHTMTPKMFET80X66X06</t>
  </si>
  <si>
    <t>60D-MAT-RB-FOAM-79.50X65.50X15MM</t>
  </si>
  <si>
    <t>RTHTMTPKMFET80X72X06</t>
  </si>
  <si>
    <t>60D-MAT-RB-FOAM-79.50X71.50X15MM</t>
  </si>
  <si>
    <t>RTHTMTPKMFET84X30X06</t>
  </si>
  <si>
    <t>60D-MAT-RB-FOAM-83.50X29.50X15MM</t>
  </si>
  <si>
    <t>RTHTMTPKMFET84X36X06</t>
  </si>
  <si>
    <t>60D-MAT-RB-FOAM-83.50X35.50X15MM</t>
  </si>
  <si>
    <t>RTHTMTPKMFET84X42X06</t>
  </si>
  <si>
    <t>60D-MAT-RB-FOAM-83.50X41.50X15MM</t>
  </si>
  <si>
    <t>RTHTMTPKMFET84X48X06</t>
  </si>
  <si>
    <t>60D-MAT-RB-FOAM-83.50X47.50X15MM</t>
  </si>
  <si>
    <t>RTHTMTPKMFET84X60X06</t>
  </si>
  <si>
    <t>60D-MAT-RB-FOAM-83.50X59.50X15MM</t>
  </si>
  <si>
    <t>RTHTMTPKMFET84X66X06</t>
  </si>
  <si>
    <t>60D-MAT-RB-FOAM-83.50X65.50X15MM</t>
  </si>
  <si>
    <t>RTHTMTPKMFET84X72X06</t>
  </si>
  <si>
    <t>60D-MAT-RB-FOAM-83.50X71.50X15MM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</si>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</sst>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" sqref="E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"RTHTMTPKMFET"&amp;$K$2&amp;"X"&amp;$L$2&amp;"X"&amp;IF($M$2=10,$M$2,"0"&amp;$M$2)</f>
        <v>RTHTMTPKMFET75X36X06</v>
      </c>
      <c r="E2" s="1" t="str">
        <f>"OEPKBOXSR"&amp;(K2-0.5)&amp;"0"&amp;"X"&amp;(L2-0.5)&amp;"0"&amp;"X"&amp;IF(M2=6,"120",IF(M2=8,"160",IF(M2=10,"200",0)))</f>
        <v>OEPKBOXSR74.50X35.50X120</v>
      </c>
      <c r="F2" s="38" t="s">
        <v>11</v>
      </c>
      <c r="G2" s="39">
        <v>1</v>
      </c>
      <c r="H2" s="39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4">
        <v>6</v>
      </c>
      <c r="N2" s="6"/>
      <c r="P2" s="4" t="s">
        <v>91</v>
      </c>
      <c r="R2" s="31" t="s">
        <v>92</v>
      </c>
      <c r="S2" s="31" t="s">
        <v>93</v>
      </c>
      <c r="T2" s="31">
        <v>6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"RTHTMTPKMFET"&amp;$K$2&amp;"X"&amp;$L$2&amp;"X"&amp;IF($M$2=10,$M$2,"0"&amp;$M$2)</f>
        <v>RTHTMTPKMFET75X36X06</v>
      </c>
      <c r="E3" s="19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6</v>
      </c>
      <c r="U3" s="32" t="s">
        <v>108</v>
      </c>
    </row>
    <row r="4" spans="1:21" x14ac:dyDescent="0.25">
      <c r="A4" s="33">
        <v>5</v>
      </c>
      <c r="B4" s="7" t="s">
        <v>17</v>
      </c>
      <c r="C4" s="7" t="s">
        <v>17</v>
      </c>
      <c r="D4" s="7" t="str">
        <f t="shared" si="1"/>
        <v>RTHTMTPKMFET75X36X06</v>
      </c>
      <c r="E4" s="36" t="s">
        <v>110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20" t="s">
        <v>16</v>
      </c>
      <c r="J4" s="12"/>
      <c r="O4" s="18"/>
      <c r="R4" s="31" t="s">
        <v>92</v>
      </c>
      <c r="S4" s="31" t="s">
        <v>95</v>
      </c>
      <c r="T4" s="31">
        <v>6</v>
      </c>
      <c r="U4" s="32" t="s">
        <v>108</v>
      </c>
    </row>
    <row r="5" spans="1:21" x14ac:dyDescent="0.25">
      <c r="A5" s="33">
        <v>6</v>
      </c>
      <c r="B5" s="7" t="s">
        <v>19</v>
      </c>
      <c r="C5" s="7" t="s">
        <v>19</v>
      </c>
      <c r="D5" s="7" t="str">
        <f t="shared" si="1"/>
        <v>RTHTMTPKMFET75X36X06</v>
      </c>
      <c r="E5" s="9" t="s">
        <v>105</v>
      </c>
      <c r="F5" s="11" t="s">
        <v>106</v>
      </c>
      <c r="G5" s="10">
        <f>((K2-0.5)*(L2-0.5)/144)*0.00729*3</f>
        <v>0.40167140624999997</v>
      </c>
      <c r="H5" s="39">
        <f t="shared" si="3"/>
        <v>0.40200000000000002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6</v>
      </c>
      <c r="U5" s="32" t="s">
        <v>108</v>
      </c>
    </row>
    <row r="6" spans="1:21" x14ac:dyDescent="0.25">
      <c r="A6" s="33">
        <v>7</v>
      </c>
      <c r="B6" s="7" t="s">
        <v>19</v>
      </c>
      <c r="C6" s="7" t="s">
        <v>19</v>
      </c>
      <c r="D6" s="7" t="str">
        <f t="shared" si="1"/>
        <v>RTHTMTPKMFET75X36X06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6</v>
      </c>
      <c r="U6" s="32" t="s">
        <v>108</v>
      </c>
    </row>
    <row r="7" spans="1:21" x14ac:dyDescent="0.25">
      <c r="A7" s="33">
        <v>8</v>
      </c>
      <c r="B7" s="7" t="s">
        <v>19</v>
      </c>
      <c r="C7" s="7" t="s">
        <v>19</v>
      </c>
      <c r="D7" s="7" t="str">
        <f t="shared" si="1"/>
        <v>RTHTMTPKMFET75X36X06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6</v>
      </c>
      <c r="U7" s="32" t="s">
        <v>108</v>
      </c>
    </row>
    <row r="8" spans="1:21" x14ac:dyDescent="0.25">
      <c r="A8" s="33">
        <v>9</v>
      </c>
      <c r="B8" s="7" t="s">
        <v>20</v>
      </c>
      <c r="C8" s="37" t="s">
        <v>20</v>
      </c>
      <c r="D8" s="7" t="str">
        <f t="shared" si="1"/>
        <v>RTHTMTPKMFET75X36X06</v>
      </c>
      <c r="E8" s="37" t="str">
        <f>IF(M2=6,"RML-CS-PL-6.5""",IF(M2=8,"RML-CS-PL-8.5",IF(M2=10,"RML-CS-PL-10.5",IF(M2=12,"RML-CS-PL-12.25"))))</f>
        <v>RML-CS-PL-6.5"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6</v>
      </c>
      <c r="U8" s="32" t="s">
        <v>108</v>
      </c>
    </row>
    <row r="9" spans="1:21" x14ac:dyDescent="0.25">
      <c r="A9" s="33">
        <v>10</v>
      </c>
      <c r="B9" s="7" t="s">
        <v>19</v>
      </c>
      <c r="C9" s="7" t="s">
        <v>19</v>
      </c>
      <c r="D9" s="7" t="str">
        <f t="shared" si="1"/>
        <v>RTHTMTPKMFET75X36X06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2"/>
      <c r="Q9" s="18"/>
      <c r="R9" s="31" t="s">
        <v>92</v>
      </c>
      <c r="S9" s="31" t="s">
        <v>100</v>
      </c>
      <c r="T9" s="31">
        <v>6</v>
      </c>
      <c r="U9" s="32" t="s">
        <v>108</v>
      </c>
    </row>
    <row r="10" spans="1:21" x14ac:dyDescent="0.25">
      <c r="A10" s="33">
        <v>11</v>
      </c>
      <c r="B10" s="7" t="s">
        <v>20</v>
      </c>
      <c r="C10" s="37" t="s">
        <v>20</v>
      </c>
      <c r="D10" s="7" t="str">
        <f t="shared" si="1"/>
        <v>RTHTMTPKMFET75X36X06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6</v>
      </c>
      <c r="U10" s="32" t="s">
        <v>108</v>
      </c>
    </row>
    <row r="11" spans="1:21" x14ac:dyDescent="0.25">
      <c r="A11" s="33">
        <v>12</v>
      </c>
      <c r="B11" s="7" t="s">
        <v>20</v>
      </c>
      <c r="C11" s="9" t="s">
        <v>20</v>
      </c>
      <c r="D11" s="7" t="str">
        <f t="shared" si="1"/>
        <v>RTHTMTPKMFET75X36X06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3"/>
      <c r="L11" s="23"/>
      <c r="M11" s="18"/>
      <c r="N11" s="22"/>
      <c r="O11" s="18"/>
      <c r="P11" s="18"/>
      <c r="Q11" s="18"/>
      <c r="R11" s="31" t="s">
        <v>101</v>
      </c>
      <c r="S11" s="31" t="s">
        <v>94</v>
      </c>
      <c r="T11" s="31">
        <v>6</v>
      </c>
      <c r="U11" s="32" t="s">
        <v>108</v>
      </c>
    </row>
    <row r="12" spans="1:21" x14ac:dyDescent="0.25">
      <c r="A12" s="33">
        <v>13</v>
      </c>
      <c r="B12" s="7" t="s">
        <v>20</v>
      </c>
      <c r="C12" s="9" t="s">
        <v>20</v>
      </c>
      <c r="D12" s="7" t="str">
        <f t="shared" si="1"/>
        <v>RTHTMTPKMFET75X36X06</v>
      </c>
      <c r="E12" s="9" t="s">
        <v>111</v>
      </c>
      <c r="F12" s="11" t="s">
        <v>13</v>
      </c>
      <c r="G12" s="10">
        <f>IF(K2&lt;79,((L2*2)+(M2*2)+4),((K2*2)+(M2*2)+4))*0.0254*89.5*0.0254*0.00009*1300</f>
        <v>0.59450977871999999</v>
      </c>
      <c r="H12" s="39">
        <f t="shared" si="3"/>
        <v>0.59499999999999997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6</v>
      </c>
      <c r="U12" s="32" t="s">
        <v>108</v>
      </c>
    </row>
    <row r="13" spans="1:21" x14ac:dyDescent="0.25">
      <c r="A13" s="33">
        <v>14</v>
      </c>
      <c r="B13" s="7" t="s">
        <v>19</v>
      </c>
      <c r="C13" s="7" t="s">
        <v>19</v>
      </c>
      <c r="D13" s="7" t="str">
        <f t="shared" si="1"/>
        <v>RTHTMTPKMFET75X36X06</v>
      </c>
      <c r="E13" s="40" t="str">
        <f>"60D-MAT-RB-FOAM-"&amp;(K2-0.5)&amp;"0"&amp;"X"&amp;(L2-0.5)&amp;"0"&amp;"X15MM"</f>
        <v>60D-MAT-RB-FOAM-74.50X35.50X15MM</v>
      </c>
      <c r="F13" s="8" t="s">
        <v>11</v>
      </c>
      <c r="G13" s="14">
        <v>1</v>
      </c>
      <c r="H13" s="39">
        <f t="shared" si="3"/>
        <v>1</v>
      </c>
      <c r="I13" s="20" t="s">
        <v>16</v>
      </c>
      <c r="J13" s="12"/>
      <c r="K13" s="21"/>
      <c r="R13" s="31" t="s">
        <v>101</v>
      </c>
      <c r="S13" s="31" t="s">
        <v>96</v>
      </c>
      <c r="T13" s="31">
        <v>6</v>
      </c>
      <c r="U13" s="32" t="s">
        <v>108</v>
      </c>
    </row>
    <row r="14" spans="1:21" x14ac:dyDescent="0.25">
      <c r="J14" s="12"/>
      <c r="M14" s="21"/>
      <c r="O14" s="21"/>
      <c r="R14" s="31" t="s">
        <v>101</v>
      </c>
      <c r="S14" s="31" t="s">
        <v>97</v>
      </c>
      <c r="T14" s="31">
        <v>6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6</v>
      </c>
      <c r="U15" s="32" t="s">
        <v>108</v>
      </c>
    </row>
    <row r="16" spans="1:21" x14ac:dyDescent="0.25">
      <c r="J16" s="12"/>
      <c r="M16" s="21"/>
      <c r="N16"/>
      <c r="O16"/>
      <c r="R16" s="31" t="s">
        <v>101</v>
      </c>
      <c r="S16" s="31" t="s">
        <v>99</v>
      </c>
      <c r="T16" s="31">
        <v>6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6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6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6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6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6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6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6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6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6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6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6</v>
      </c>
      <c r="U27" s="32" t="s">
        <v>108</v>
      </c>
    </row>
    <row r="28" spans="5:21" x14ac:dyDescent="0.25">
      <c r="E28" s="21"/>
      <c r="I28" s="21"/>
      <c r="M28" s="21"/>
      <c r="N28"/>
      <c r="O28"/>
      <c r="R28" s="31" t="s">
        <v>103</v>
      </c>
      <c r="S28" s="31" t="s">
        <v>95</v>
      </c>
      <c r="T28" s="31">
        <v>6</v>
      </c>
      <c r="U28" s="32" t="s">
        <v>108</v>
      </c>
    </row>
    <row r="29" spans="5:21" x14ac:dyDescent="0.25">
      <c r="E29" s="21"/>
      <c r="N29"/>
      <c r="O29"/>
      <c r="R29" s="31" t="s">
        <v>103</v>
      </c>
      <c r="S29" s="31" t="s">
        <v>96</v>
      </c>
      <c r="T29" s="31">
        <v>6</v>
      </c>
      <c r="U29" s="32" t="s">
        <v>108</v>
      </c>
    </row>
    <row r="30" spans="5:21" x14ac:dyDescent="0.25">
      <c r="H30" s="21"/>
      <c r="N30"/>
      <c r="O30"/>
      <c r="R30" s="31" t="s">
        <v>103</v>
      </c>
      <c r="S30" s="31" t="s">
        <v>97</v>
      </c>
      <c r="T30" s="31">
        <v>6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6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6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6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6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6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6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6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6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6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6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6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6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6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6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6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6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6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6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6</v>
      </c>
      <c r="U49" s="32"/>
    </row>
    <row r="50" spans="14:21" x14ac:dyDescent="0.25">
      <c r="R50" s="31">
        <v>75</v>
      </c>
      <c r="S50" s="31">
        <v>36</v>
      </c>
      <c r="T50" s="31">
        <v>6</v>
      </c>
      <c r="U50" s="32"/>
    </row>
    <row r="51" spans="14:21" x14ac:dyDescent="0.25">
      <c r="R51" s="31">
        <v>75</v>
      </c>
      <c r="S51" s="31">
        <v>42</v>
      </c>
      <c r="T51" s="31">
        <v>6</v>
      </c>
      <c r="U51" s="32"/>
    </row>
    <row r="52" spans="14:21" x14ac:dyDescent="0.25">
      <c r="R52" s="31">
        <v>75</v>
      </c>
      <c r="S52" s="31">
        <v>48</v>
      </c>
      <c r="T52" s="31">
        <v>6</v>
      </c>
      <c r="U52" s="32"/>
    </row>
    <row r="53" spans="14:21" x14ac:dyDescent="0.25">
      <c r="R53" s="31">
        <v>75</v>
      </c>
      <c r="S53" s="31">
        <v>60</v>
      </c>
      <c r="T53" s="31">
        <v>6</v>
      </c>
      <c r="U53" s="32"/>
    </row>
    <row r="54" spans="14:21" x14ac:dyDescent="0.25">
      <c r="R54" s="31">
        <v>75</v>
      </c>
      <c r="S54" s="31">
        <v>66</v>
      </c>
      <c r="T54" s="31">
        <v>6</v>
      </c>
      <c r="U54" s="32"/>
    </row>
    <row r="55" spans="14:21" x14ac:dyDescent="0.25">
      <c r="R55" s="31">
        <v>75</v>
      </c>
      <c r="S55" s="31">
        <v>72</v>
      </c>
      <c r="T55" s="31">
        <v>6</v>
      </c>
      <c r="U55" s="32"/>
    </row>
    <row r="56" spans="14:21" x14ac:dyDescent="0.25">
      <c r="R56" s="31">
        <v>78</v>
      </c>
      <c r="S56" s="31">
        <v>30</v>
      </c>
      <c r="T56" s="31">
        <v>6</v>
      </c>
      <c r="U56" s="32"/>
    </row>
    <row r="57" spans="14:21" x14ac:dyDescent="0.25">
      <c r="R57" s="31">
        <v>78</v>
      </c>
      <c r="S57" s="31">
        <v>36</v>
      </c>
      <c r="T57" s="31">
        <v>6</v>
      </c>
      <c r="U57" s="32"/>
    </row>
    <row r="58" spans="14:21" x14ac:dyDescent="0.25">
      <c r="R58" s="31">
        <v>78</v>
      </c>
      <c r="S58" s="31">
        <v>42</v>
      </c>
      <c r="T58" s="31">
        <v>6</v>
      </c>
      <c r="U58" s="32"/>
    </row>
    <row r="59" spans="14:21" x14ac:dyDescent="0.25">
      <c r="R59" s="31">
        <v>78</v>
      </c>
      <c r="S59" s="31">
        <v>48</v>
      </c>
      <c r="T59" s="31">
        <v>6</v>
      </c>
      <c r="U59" s="32"/>
    </row>
    <row r="60" spans="14:21" x14ac:dyDescent="0.25">
      <c r="R60" s="31">
        <v>78</v>
      </c>
      <c r="S60" s="31">
        <v>60</v>
      </c>
      <c r="T60" s="31">
        <v>6</v>
      </c>
      <c r="U60" s="32"/>
    </row>
    <row r="61" spans="14:21" x14ac:dyDescent="0.25">
      <c r="R61" s="31">
        <v>78</v>
      </c>
      <c r="S61" s="31">
        <v>66</v>
      </c>
      <c r="T61" s="31">
        <v>6</v>
      </c>
      <c r="U61" s="32"/>
    </row>
    <row r="62" spans="14:21" x14ac:dyDescent="0.25">
      <c r="R62" s="31">
        <v>78</v>
      </c>
      <c r="S62" s="31">
        <v>72</v>
      </c>
      <c r="T62" s="31">
        <v>6</v>
      </c>
      <c r="U62" s="32"/>
    </row>
    <row r="63" spans="14:21" x14ac:dyDescent="0.25">
      <c r="R63" s="31">
        <v>80</v>
      </c>
      <c r="S63" s="31">
        <v>30</v>
      </c>
      <c r="T63" s="31">
        <v>6</v>
      </c>
      <c r="U63" s="32"/>
    </row>
    <row r="64" spans="14:21" x14ac:dyDescent="0.25">
      <c r="R64" s="31">
        <v>80</v>
      </c>
      <c r="S64" s="31">
        <v>36</v>
      </c>
      <c r="T64" s="31">
        <v>6</v>
      </c>
      <c r="U64" s="32"/>
    </row>
    <row r="65" spans="18:21" x14ac:dyDescent="0.25">
      <c r="R65" s="31">
        <v>80</v>
      </c>
      <c r="S65" s="31">
        <v>42</v>
      </c>
      <c r="T65" s="31">
        <v>6</v>
      </c>
      <c r="U65" s="32"/>
    </row>
    <row r="66" spans="18:21" x14ac:dyDescent="0.25">
      <c r="R66" s="31">
        <v>80</v>
      </c>
      <c r="S66" s="31">
        <v>48</v>
      </c>
      <c r="T66" s="31">
        <v>6</v>
      </c>
      <c r="U66" s="32"/>
    </row>
    <row r="67" spans="18:21" x14ac:dyDescent="0.25">
      <c r="R67" s="31">
        <v>80</v>
      </c>
      <c r="S67" s="31">
        <v>60</v>
      </c>
      <c r="T67" s="31">
        <v>6</v>
      </c>
      <c r="U67" s="32"/>
    </row>
    <row r="68" spans="18:21" x14ac:dyDescent="0.25">
      <c r="R68" s="31">
        <v>80</v>
      </c>
      <c r="S68" s="31">
        <v>66</v>
      </c>
      <c r="T68" s="31">
        <v>6</v>
      </c>
      <c r="U68" s="32"/>
    </row>
    <row r="69" spans="18:21" x14ac:dyDescent="0.25">
      <c r="R69" s="31">
        <v>80</v>
      </c>
      <c r="S69" s="31">
        <v>72</v>
      </c>
      <c r="T69" s="31">
        <v>6</v>
      </c>
      <c r="U69" s="32"/>
    </row>
    <row r="70" spans="18:21" x14ac:dyDescent="0.25">
      <c r="R70" s="31">
        <v>84</v>
      </c>
      <c r="S70" s="31">
        <v>30</v>
      </c>
      <c r="T70" s="31">
        <v>6</v>
      </c>
      <c r="U70" s="32"/>
    </row>
    <row r="71" spans="18:21" x14ac:dyDescent="0.25">
      <c r="R71" s="31">
        <v>84</v>
      </c>
      <c r="S71" s="31">
        <v>36</v>
      </c>
      <c r="T71" s="31">
        <v>6</v>
      </c>
      <c r="U71" s="32"/>
    </row>
    <row r="72" spans="18:21" x14ac:dyDescent="0.25">
      <c r="R72" s="31">
        <v>84</v>
      </c>
      <c r="S72" s="31">
        <v>42</v>
      </c>
      <c r="T72" s="31">
        <v>6</v>
      </c>
      <c r="U72" s="32"/>
    </row>
    <row r="73" spans="18:21" x14ac:dyDescent="0.25">
      <c r="R73" s="31">
        <v>84</v>
      </c>
      <c r="S73" s="31">
        <v>48</v>
      </c>
      <c r="T73" s="31">
        <v>6</v>
      </c>
      <c r="U73" s="32"/>
    </row>
    <row r="74" spans="18:21" x14ac:dyDescent="0.25">
      <c r="R74" s="31">
        <v>84</v>
      </c>
      <c r="S74" s="31">
        <v>60</v>
      </c>
      <c r="T74" s="31">
        <v>6</v>
      </c>
      <c r="U74" s="32"/>
    </row>
    <row r="75" spans="18:21" x14ac:dyDescent="0.25">
      <c r="R75" s="31">
        <v>84</v>
      </c>
      <c r="S75" s="31">
        <v>66</v>
      </c>
      <c r="T75" s="31">
        <v>6</v>
      </c>
      <c r="U75" s="32"/>
    </row>
    <row r="76" spans="18:21" x14ac:dyDescent="0.25">
      <c r="R76" s="31">
        <v>84</v>
      </c>
      <c r="S76" s="31">
        <v>72</v>
      </c>
      <c r="T76" s="31">
        <v>6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112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0.35299999999999998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0.55400000000000005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0.41799999999999998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0.63500000000000001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0.48299999999999998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0.71599999999999997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0.54800000000000004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0.79700000000000004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156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0.58099999999999996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0.83799999999999997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157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0.61399999999999999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0.878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158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0.67900000000000005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0.95899999999999996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159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0.74399999999999999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1.04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0.36799999999999999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0.55400000000000005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161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0.436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0.63500000000000001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162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0.504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0.71599999999999997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163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0.57099999999999995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0.79700000000000004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164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0.60499999999999998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0.83799999999999997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165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0.63900000000000001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0.878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0.70699999999999996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0.95899999999999996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167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0.77500000000000002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1.04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168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0.38300000000000001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0.55400000000000005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169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0.45300000000000001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0.63500000000000001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170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0.52400000000000002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0.71599999999999997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171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0.59399999999999997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0.79700000000000004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172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0.63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0.83799999999999997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173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0.66500000000000004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0.878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174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0.73599999999999999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0.95899999999999996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175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0.80600000000000005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1.04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176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0.39200000000000002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1.1890000000000001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177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0.46500000000000002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1.1890000000000001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178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0.53700000000000003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1.1890000000000001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179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0.61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1.1890000000000001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180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0.64600000000000002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1.1890000000000001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181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0.68200000000000005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1.1890000000000001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182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0.755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1.1890000000000001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183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0.82699999999999996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1.1890000000000001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184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0.41199999999999998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1.2430000000000001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185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0.48799999999999999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1.2430000000000001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186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0.56399999999999995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1.2430000000000001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187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0.64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1.2430000000000001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188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0.67800000000000005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1.2430000000000001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189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0.71699999999999997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1.2430000000000001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190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0.79300000000000004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1.2430000000000001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191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0.86899999999999999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1.2430000000000001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0.32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0.51300000000000001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0.38500000000000001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113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0.59499999999999997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0.45100000000000001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113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0.67600000000000005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0.51600000000000001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113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0.75700000000000001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0.64600000000000002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113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0.91900000000000004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0.71099999999999997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113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0.77600000000000002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113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1.081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0.33400000000000002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113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0.51300000000000001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0.40200000000000002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113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0.59499999999999997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0.47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113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0.67600000000000005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0.53700000000000003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113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0.75700000000000001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0.67300000000000004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0.91900000000000004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0.74099999999999999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113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0.80900000000000005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113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1.081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0.34699999999999998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113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0.51300000000000001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0.41799999999999998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113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0.59499999999999997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0.48799999999999999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113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0.67600000000000005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0.55900000000000005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0.75700000000000001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0.7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113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0.91900000000000004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0.77100000000000002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113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0.84199999999999997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113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1.081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0.35599999999999998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113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1.1890000000000001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0.42899999999999999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113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1.1890000000000001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0.501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113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1.1890000000000001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0.57399999999999995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1.1890000000000001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0.71799999999999997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113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1.1890000000000001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0.79100000000000004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113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1.1890000000000001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0.86299999999999999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113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1.1890000000000001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0.374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113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1.2430000000000001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0.45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113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0.52600000000000002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1.2430000000000001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0.60199999999999998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113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1.2430000000000001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0.755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113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1.2430000000000001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0.83099999999999996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113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1.2430000000000001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0.90700000000000003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1.2430000000000001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0.35299999999999998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0.55400000000000005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0.41799999999999998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0.63500000000000001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0.48299999999999998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0.71599999999999997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0.54800000000000004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0.79700000000000004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0.58099999999999996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0.83799999999999997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0.61399999999999999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0.878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0.67900000000000005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0.95899999999999996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0.74399999999999999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1.04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0.36799999999999999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0.55400000000000005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0.436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0.63500000000000001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0.504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0.71599999999999997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0.57099999999999995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0.79700000000000004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0.60499999999999998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0.83799999999999997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0.63900000000000001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0.878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0.70699999999999996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0.95899999999999996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0.77500000000000002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1.04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0.38300000000000001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0.55400000000000005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0.45300000000000001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0.63500000000000001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0.52400000000000002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0.71599999999999997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0.59399999999999997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0.79700000000000004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0.63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0.83799999999999997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0.66500000000000004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0.878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0.73599999999999999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0.95899999999999996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0.80600000000000005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1.04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0.39200000000000002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1.1890000000000001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0.46500000000000002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1.1890000000000001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0.53700000000000003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1.1890000000000001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0.61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1.1890000000000001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180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0.64600000000000002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1.1890000000000001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0.68200000000000005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1.1890000000000001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0.755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1.1890000000000001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0.82699999999999996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1.1890000000000001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0.41199999999999998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1.2430000000000001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0.48799999999999999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1.2430000000000001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0.56399999999999995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1.2430000000000001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1.2430000000000001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0.67800000000000005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1.2430000000000001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0.71699999999999997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1.2430000000000001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190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0.79300000000000004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1.2430000000000001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0.86899999999999999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1.2430000000000001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0.32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0.51300000000000001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0.38500000000000001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0.59499999999999997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0.45100000000000001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113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0.67600000000000005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0.51600000000000001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0.75700000000000001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0.64600000000000002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0.91900000000000004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0.71099999999999997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113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0.77600000000000002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113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1.081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0.33400000000000002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113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0.51300000000000001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0.40200000000000002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0.59499999999999997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0.67600000000000005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0.53700000000000003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0.75700000000000001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0.67300000000000004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0.91900000000000004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0.74099999999999999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113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0.80900000000000005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113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1.081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0.34699999999999998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0.51300000000000001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0.41799999999999998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0.59499999999999997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0.48799999999999999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113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0.67600000000000005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0.55900000000000005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0.75700000000000001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0.7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113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0.91900000000000004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0.77100000000000002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0.84199999999999997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113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1.081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0.35599999999999998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113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1.1890000000000001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0.42899999999999999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1.1890000000000001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0.501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1.1890000000000001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0.57399999999999995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1.1890000000000001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0.71799999999999997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1.1890000000000001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0.79100000000000004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1.1890000000000001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0.86299999999999999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1.1890000000000001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0.374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113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1.2430000000000001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0.45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0.52600000000000002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1.2430000000000001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0.60199999999999998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113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1.2430000000000001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0.755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113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1.2430000000000001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0.83099999999999996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113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1.2430000000000001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0.90700000000000003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1.2430000000000001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2026-06-02T08:44:47Z</dcterms:modified>
</cp:coreProperties>
</file>