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 Pocketed Memoryfoam\FR-PK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3" i="13" l="1"/>
  <c r="G5" i="13" l="1"/>
  <c r="H13" i="13" l="1"/>
  <c r="D13" i="13"/>
  <c r="G12" i="13"/>
  <c r="H12" i="13" s="1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H5" i="13"/>
  <c r="D5" i="13"/>
  <c r="G4" i="13"/>
  <c r="H4" i="13" s="1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<sst xmlns="http://schemas.openxmlformats.org/spreadsheetml/2006/main" count="10216" uniqueCount="338">
  <si>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</si>
  <si>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</si>
  <si>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</si>
  <si>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</si>
  <si>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</si>
  <si>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</si>
  <si>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</si>
  <si>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</si>
  <si>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</si>
  <si>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</si>
  <si>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</si>
  <si>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</si>
  <si>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</si>
  <si>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</si>
  <si>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</si>
  <si>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</si>
  <si>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</si>
  <si>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</si>
  <si>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</si>
  <si>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</si>
  <si>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</si>
  <si>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</si>
  <si>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</si>
  <si>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</si>
  <si>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</si>
  <si>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</si>
  <si>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</si>
  <si>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</si>
  <si>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</si>
  <si>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</si>
  <si>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</si>
  <si>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</si>
  <si>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</si>
  <si>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</si>
  <si>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</si>
  <si>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</si>
  <si>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</si>
  <si>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</si>
  <si>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</si>
  <si>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</si>
  <si>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</si>
  <si>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</si>
  <si>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</si>
  <si>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</si>
  <si>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</si>
  <si>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</si>
  <si>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</si>
  <si>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</si>
  <si>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</si>
  <si>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</si>
  <si>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</si>
  <si>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</si>
  <si>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</si>
  <si>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</si>
  <si>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</si>
  <si>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</si>
  <si>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</si>
  <si>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</si>
  <si>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</si>
  <si>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</si>
  <si>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</si>
  <si>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</si>
  <si>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</si>
  <si>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</si>
  <si>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</si>
  <si>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</si>
  <si>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</si>
  <si>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</si>
  <si>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</si>
  <si>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</si>
  <si>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</si>
  <si>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</si>
  <si>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</si>
  <si>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</si>
  <si>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</si>
  <si>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</si>
  <si>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</si>
  <si>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</si>
  <si>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</si>
  <si>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</si>
  <si>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</si>
  <si>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</si>
  <si>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</si>
  <si>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</si>
  <si>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</si>
  <si>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</si>
  <si>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</si>
  <si>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</si>
  <si>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</si>
  <si>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</si>
  <si>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</si>
  <si>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</si>
  <si>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</si>
  <si>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</si>
  <si>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</si>
  <si>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</si>
  <si>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</si>
  <si>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</si>
  <si>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</si>
  <si>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</si>
  <si>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</si>
  <si>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</si>
  <si>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</si>
  <si>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</si>
  <si>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</si>
  <si>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</si>
  <si>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</si>
  <si>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</si>
  <si>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</si>
  <si>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</si>
  <si>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</si>
  <si>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</si>
  <si>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RTHTMTPKMFET72X33X08</t>
  </si>
  <si>
    <t>RML-CS-PL-8.5</t>
  </si>
  <si>
    <t>RTHTMTPKMFET72X39X08</t>
  </si>
  <si>
    <t>RTHTMTPKMFET72X45X08</t>
  </si>
  <si>
    <t>RTHTMTPKMFET72X51X08</t>
  </si>
  <si>
    <t>RTHTMTPKMFET72X54X08</t>
  </si>
  <si>
    <t>RTHTMTPKMFET72X57X08</t>
  </si>
  <si>
    <t>RTHTMTPKMFET72X63X08</t>
  </si>
  <si>
    <t>RTHTMTPKMFET72X69X08</t>
  </si>
  <si>
    <t>RTHTMTPKMFET75X33X08</t>
  </si>
  <si>
    <t>RTHTMTPKMFET75X39X08</t>
  </si>
  <si>
    <t>RTHTMTPKMFET75X45X08</t>
  </si>
  <si>
    <t>RTHTMTPKMFET75X51X08</t>
  </si>
  <si>
    <t>RTHTMTPKMFET75X54X08</t>
  </si>
  <si>
    <t>RTHTMTPKMFET75X57X08</t>
  </si>
  <si>
    <t>RTHTMTPKMFET75X63X08</t>
  </si>
  <si>
    <t>RTHTMTPKMFET75X69X08</t>
  </si>
  <si>
    <t>RTHTMTPKMFET78X33X08</t>
  </si>
  <si>
    <t>RTHTMTPKMFET78X39X08</t>
  </si>
  <si>
    <t>RTHTMTPKMFET78X45X08</t>
  </si>
  <si>
    <t>RTHTMTPKMFET78X51X08</t>
  </si>
  <si>
    <t>RTHTMTPKMFET78X54X08</t>
  </si>
  <si>
    <t>RTHTMTPKMFET78X57X08</t>
  </si>
  <si>
    <t>RTHTMTPKMFET78X63X08</t>
  </si>
  <si>
    <t>RTHTMTPKMFET78X69X08</t>
  </si>
  <si>
    <t>RTHTMTPKMFET80X33X08</t>
  </si>
  <si>
    <t>RTHTMTPKMFET80X39X08</t>
  </si>
  <si>
    <t>RTHTMTPKMFET80X45X08</t>
  </si>
  <si>
    <t>RTHTMTPKMFET80X51X08</t>
  </si>
  <si>
    <t>RTHTMTPKMFET80X54X08</t>
  </si>
  <si>
    <t>RTHTMTPKMFET80X57X08</t>
  </si>
  <si>
    <t>RTHTMTPKMFET80X63X08</t>
  </si>
  <si>
    <t>RTHTMTPKMFET80X69X08</t>
  </si>
  <si>
    <t>RTHTMTPKMFET84X33X08</t>
  </si>
  <si>
    <t>RTHTMTPKMFET84X39X08</t>
  </si>
  <si>
    <t>RTHTMTPKMFET84X45X08</t>
  </si>
  <si>
    <t>RTHTMTPKMFET84X51X08</t>
  </si>
  <si>
    <t>RTHTMTPKMFET84X54X08</t>
  </si>
  <si>
    <t>RTHTMTPKMFET84X57X08</t>
  </si>
  <si>
    <t>RTHTMTPKMFET84X63X08</t>
  </si>
  <si>
    <t>RTHTMTPKMFET84X69X08</t>
  </si>
  <si>
    <t>60D-MAT-RB-FOAM-71.50X32.50X15MM</t>
  </si>
  <si>
    <t>60D-MAT-RB-FOAM-71.50X38.50X15MM</t>
  </si>
  <si>
    <t>60D-MAT-RB-FOAM-71.50X44.50X15MM</t>
  </si>
  <si>
    <t>60D-MAT-RB-FOAM-71.50X50.50X15MM</t>
  </si>
  <si>
    <t>60D-MAT-RB-FOAM-71.50X53.50X15MM</t>
  </si>
  <si>
    <t>60D-MAT-RB-FOAM-71.50X56.50X15MM</t>
  </si>
  <si>
    <t>60D-MAT-RB-FOAM-71.50X62.50X15MM</t>
  </si>
  <si>
    <t>60D-MAT-RB-FOAM-71.50X68.50X15MM</t>
  </si>
  <si>
    <t>60D-MAT-RB-FOAM-74.50X32.50X15MM</t>
  </si>
  <si>
    <t>60D-MAT-RB-FOAM-74.50X38.50X15MM</t>
  </si>
  <si>
    <t>60D-MAT-RB-FOAM-74.50X44.50X15MM</t>
  </si>
  <si>
    <t>60D-MAT-RB-FOAM-74.50X50.50X15MM</t>
  </si>
  <si>
    <t>60D-MAT-RB-FOAM-74.50X53.50X15MM</t>
  </si>
  <si>
    <t>60D-MAT-RB-FOAM-74.50X56.50X15MM</t>
  </si>
  <si>
    <t>60D-MAT-RB-FOAM-74.50X62.50X15MM</t>
  </si>
  <si>
    <t>60D-MAT-RB-FOAM-74.50X68.50X15MM</t>
  </si>
  <si>
    <t>60D-MAT-RB-FOAM-77.50X32.50X15MM</t>
  </si>
  <si>
    <t>60D-MAT-RB-FOAM-77.50X38.50X15MM</t>
  </si>
  <si>
    <t>60D-MAT-RB-FOAM-77.50X44.50X15MM</t>
  </si>
  <si>
    <t>60D-MAT-RB-FOAM-77.50X50.50X15MM</t>
  </si>
  <si>
    <t>60D-MAT-RB-FOAM-77.50X53.50X15MM</t>
  </si>
  <si>
    <t>60D-MAT-RB-FOAM-77.50X56.50X15MM</t>
  </si>
  <si>
    <t>60D-MAT-RB-FOAM-77.50X62.50X15MM</t>
  </si>
  <si>
    <t>60D-MAT-RB-FOAM-77.50X68.50X15MM</t>
  </si>
  <si>
    <t>60D-MAT-RB-FOAM-79.50X32.50X15MM</t>
  </si>
  <si>
    <t>60D-MAT-RB-FOAM-79.50X38.50X15MM</t>
  </si>
  <si>
    <t>60D-MAT-RB-FOAM-79.50X44.50X15MM</t>
  </si>
  <si>
    <t>60D-MAT-RB-FOAM-79.50X50.50X15MM</t>
  </si>
  <si>
    <t>60D-MAT-RB-FOAM-79.50X53.50X15MM</t>
  </si>
  <si>
    <t>60D-MAT-RB-FOAM-79.50X56.50X15MM</t>
  </si>
  <si>
    <t>60D-MAT-RB-FOAM-79.50X62.50X15MM</t>
  </si>
  <si>
    <t>60D-MAT-RB-FOAM-79.50X68.50X15MM</t>
  </si>
  <si>
    <t>60D-MAT-RB-FOAM-83.50X32.50X15MM</t>
  </si>
  <si>
    <t>60D-MAT-RB-FOAM-83.50X38.50X15MM</t>
  </si>
  <si>
    <t>60D-MAT-RB-FOAM-83.50X44.50X15MM</t>
  </si>
  <si>
    <t>60D-MAT-RB-FOAM-83.50X50.50X15MM</t>
  </si>
  <si>
    <t>60D-MAT-RB-FOAM-83.50X53.50X15MM</t>
  </si>
  <si>
    <t>60D-MAT-RB-FOAM-83.50X56.50X15MM</t>
  </si>
  <si>
    <t>60D-MAT-RB-FOAM-83.50X62.50X15MM</t>
  </si>
  <si>
    <t>60D-MAT-RB-FOAM-83.50X68.50X15MM</t>
  </si>
  <si>
    <t>RTHTMTPKMFET72X30X08</t>
  </si>
  <si>
    <t>60D-MAT-RB-FOAM-71.50X29.50X15MM</t>
  </si>
  <si>
    <t>RTHTMTPKMFET72X36X08</t>
  </si>
  <si>
    <t>60D-MAT-RB-FOAM-71.50X35.50X15MM</t>
  </si>
  <si>
    <t>RTHTMTPKMFET72X42X08</t>
  </si>
  <si>
    <t>60D-MAT-RB-FOAM-71.50X41.50X15MM</t>
  </si>
  <si>
    <t>RTHTMTPKMFET72X48X08</t>
  </si>
  <si>
    <t>60D-MAT-RB-FOAM-71.50X47.50X15MM</t>
  </si>
  <si>
    <t>RTHTMTPKMFET72X60X08</t>
  </si>
  <si>
    <t>60D-MAT-RB-FOAM-71.50X59.50X15MM</t>
  </si>
  <si>
    <t>RTHTMTPKMFET72X66X08</t>
  </si>
  <si>
    <t>60D-MAT-RB-FOAM-71.50X65.50X15MM</t>
  </si>
  <si>
    <t>RTHTMTPKMFET72X72X08</t>
  </si>
  <si>
    <t>60D-MAT-RB-FOAM-71.50X71.50X15MM</t>
  </si>
  <si>
    <t>RTHTMTPKMFET75X30X08</t>
  </si>
  <si>
    <t>60D-MAT-RB-FOAM-74.50X29.50X15MM</t>
  </si>
  <si>
    <t>RTHTMTPKMFET75X36X08</t>
  </si>
  <si>
    <t>60D-MAT-RB-FOAM-74.50X35.50X15MM</t>
  </si>
  <si>
    <t>RTHTMTPKMFET75X42X08</t>
  </si>
  <si>
    <t>60D-MAT-RB-FOAM-74.50X41.50X15MM</t>
  </si>
  <si>
    <t>RTHTMTPKMFET75X48X08</t>
  </si>
  <si>
    <t>60D-MAT-RB-FOAM-74.50X47.50X15MM</t>
  </si>
  <si>
    <t>RTHTMTPKMFET75X60X08</t>
  </si>
  <si>
    <t>60D-MAT-RB-FOAM-74.50X59.50X15MM</t>
  </si>
  <si>
    <t>RTHTMTPKMFET75X66X08</t>
  </si>
  <si>
    <t>60D-MAT-RB-FOAM-74.50X65.50X15MM</t>
  </si>
  <si>
    <t>RTHTMTPKMFET75X72X08</t>
  </si>
  <si>
    <t>60D-MAT-RB-FOAM-74.50X71.50X15MM</t>
  </si>
  <si>
    <t>RTHTMTPKMFET78X30X08</t>
  </si>
  <si>
    <t>60D-MAT-RB-FOAM-77.50X29.50X15MM</t>
  </si>
  <si>
    <t>RTHTMTPKMFET78X36X08</t>
  </si>
  <si>
    <t>60D-MAT-RB-FOAM-77.50X35.50X15MM</t>
  </si>
  <si>
    <t>RTHTMTPKMFET78X42X08</t>
  </si>
  <si>
    <t>60D-MAT-RB-FOAM-77.50X41.50X15MM</t>
  </si>
  <si>
    <t>RTHTMTPKMFET78X48X08</t>
  </si>
  <si>
    <t>60D-MAT-RB-FOAM-77.50X47.50X15MM</t>
  </si>
  <si>
    <t>RTHTMTPKMFET78X60X08</t>
  </si>
  <si>
    <t>60D-MAT-RB-FOAM-77.50X59.50X15MM</t>
  </si>
  <si>
    <t>RTHTMTPKMFET78X66X08</t>
  </si>
  <si>
    <t>60D-MAT-RB-FOAM-77.50X65.50X15MM</t>
  </si>
  <si>
    <t>RTHTMTPKMFET78X72X08</t>
  </si>
  <si>
    <t>60D-MAT-RB-FOAM-77.50X71.50X15MM</t>
  </si>
  <si>
    <t>RTHTMTPKMFET80X30X08</t>
  </si>
  <si>
    <t>60D-MAT-RB-FOAM-79.50X29.50X15MM</t>
  </si>
  <si>
    <t>RTHTMTPKMFET80X36X08</t>
  </si>
  <si>
    <t>60D-MAT-RB-FOAM-79.50X35.50X15MM</t>
  </si>
  <si>
    <t>RTHTMTPKMFET80X42X08</t>
  </si>
  <si>
    <t>60D-MAT-RB-FOAM-79.50X41.50X15MM</t>
  </si>
  <si>
    <t>RTHTMTPKMFET80X48X08</t>
  </si>
  <si>
    <t>60D-MAT-RB-FOAM-79.50X47.50X15MM</t>
  </si>
  <si>
    <t>RTHTMTPKMFET80X60X08</t>
  </si>
  <si>
    <t>60D-MAT-RB-FOAM-79.50X59.50X15MM</t>
  </si>
  <si>
    <t>RTHTMTPKMFET80X66X08</t>
  </si>
  <si>
    <t>60D-MAT-RB-FOAM-79.50X65.50X15MM</t>
  </si>
  <si>
    <t>RTHTMTPKMFET80X72X08</t>
  </si>
  <si>
    <t>60D-MAT-RB-FOAM-79.50X71.50X15MM</t>
  </si>
  <si>
    <t>RTHTMTPKMFET84X30X08</t>
  </si>
  <si>
    <t>60D-MAT-RB-FOAM-83.50X29.50X15MM</t>
  </si>
  <si>
    <t>RTHTMTPKMFET84X36X08</t>
  </si>
  <si>
    <t>60D-MAT-RB-FOAM-83.50X35.50X15MM</t>
  </si>
  <si>
    <t>RTHTMTPKMFET84X42X08</t>
  </si>
  <si>
    <t>60D-MAT-RB-FOAM-83.50X41.50X15MM</t>
  </si>
  <si>
    <t>RTHTMTPKMFET84X48X08</t>
  </si>
  <si>
    <t>60D-MAT-RB-FOAM-83.50X47.50X15MM</t>
  </si>
  <si>
    <t>RTHTMTPKMFET84X60X08</t>
  </si>
  <si>
    <t>60D-MAT-RB-FOAM-83.50X59.50X15MM</t>
  </si>
  <si>
    <t>RTHTMTPKMFET84X66X08</t>
  </si>
  <si>
    <t>60D-MAT-RB-FOAM-83.50X65.50X15MM</t>
  </si>
  <si>
    <t>RTHTMTPKMFET84X72X08</t>
  </si>
  <si>
    <t>60D-MAT-RB-FOAM-83.50X71.50X15MM</t>
  </si>
  <si>
    <t>OEPKBOXSR71.50X32.50X180</t>
  </si>
  <si>
    <t>OEPKBOXSR71.50X38.50X180</t>
  </si>
  <si>
    <t>OEPKBOXSR71.50X44.50X180</t>
  </si>
  <si>
    <t>OEPKBOXSR71.50X50.50X180</t>
  </si>
  <si>
    <t>OEPKBOXSR71.50X53.50X180</t>
  </si>
  <si>
    <t>OEPKBOXSR71.50X56.50X180</t>
  </si>
  <si>
    <t>OEPKBOXSR71.50X62.50X180</t>
  </si>
  <si>
    <t>OEPKBOXSR71.50X68.50X180</t>
  </si>
  <si>
    <t>OEPKBOXSR74.50X32.50X180</t>
  </si>
  <si>
    <t>OEPKBOXSR74.50X38.50X180</t>
  </si>
  <si>
    <t>OEPKBOXSR74.50X44.50X180</t>
  </si>
  <si>
    <t>OEPKBOXSR74.50X50.50X180</t>
  </si>
  <si>
    <t>OEPKBOXSR74.50X53.50X180</t>
  </si>
  <si>
    <t>OEPKBOXSR74.50X56.50X180</t>
  </si>
  <si>
    <t>OEPKBOXSR74.50X62.50X180</t>
  </si>
  <si>
    <t>OEPKBOXSR74.50X68.50X180</t>
  </si>
  <si>
    <t>OEPKBOXSR77.50X32.50X180</t>
  </si>
  <si>
    <t>OEPKBOXSR77.50X38.50X180</t>
  </si>
  <si>
    <t>OEPKBOXSR77.50X44.50X180</t>
  </si>
  <si>
    <t>OEPKBOXSR77.50X50.50X180</t>
  </si>
  <si>
    <t>OEPKBOXSR77.50X53.50X180</t>
  </si>
  <si>
    <t>OEPKBOXSR77.50X56.50X180</t>
  </si>
  <si>
    <t>OEPKBOXSR77.50X62.50X180</t>
  </si>
  <si>
    <t>OEPKBOXSR77.50X68.50X180</t>
  </si>
  <si>
    <t>OEPKBOXSR79.50X32.50X180</t>
  </si>
  <si>
    <t>OEPKBOXSR79.50X38.50X180</t>
  </si>
  <si>
    <t>OEPKBOXSR79.50X44.50X180</t>
  </si>
  <si>
    <t>OEPKBOXSR79.50X50.50X180</t>
  </si>
  <si>
    <t>OEPKBOXSR79.50X53.50X180</t>
  </si>
  <si>
    <t>OEPKBOXSR79.50X56.50X180</t>
  </si>
  <si>
    <t>OEPKBOXSR79.50X62.50X180</t>
  </si>
  <si>
    <t>OEPKBOXSR79.50X68.50X180</t>
  </si>
  <si>
    <t>OEPKBOXSR83.50X32.50X180</t>
  </si>
  <si>
    <t>OEPKBOXSR83.50X38.50X180</t>
  </si>
  <si>
    <t>OEPKBOXSR83.50X44.50X180</t>
  </si>
  <si>
    <t>OEPKBOXSR83.50X50.50X180</t>
  </si>
  <si>
    <t>OEPKBOXSR83.50X53.50X180</t>
  </si>
  <si>
    <t>OEPKBOXSR83.50X56.50X180</t>
  </si>
  <si>
    <t>OEPKBOXSR83.50X62.50X180</t>
  </si>
  <si>
    <t>OEPKBOXSR83.50X68.50X180</t>
  </si>
  <si>
    <t>OEPKBOXSR71.50X29.50X180</t>
  </si>
  <si>
    <t>OEPKBOXSR71.50X35.50X180</t>
  </si>
  <si>
    <t>OEPKBOXSR71.50X41.50X180</t>
  </si>
  <si>
    <t>OEPKBOXSR71.50X47.50X180</t>
  </si>
  <si>
    <t>OEPKBOXSR71.50X59.50X180</t>
  </si>
  <si>
    <t>OEPKBOXSR71.50X65.50X180</t>
  </si>
  <si>
    <t>OEPKBOXSR71.50X71.50X180</t>
  </si>
  <si>
    <t>OEPKBOXSR74.50X29.50X180</t>
  </si>
  <si>
    <t>OEPKBOXSR74.50X35.50X180</t>
  </si>
  <si>
    <t>OEPKBOXSR74.50X41.50X180</t>
  </si>
  <si>
    <t>OEPKBOXSR74.50X47.50X180</t>
  </si>
  <si>
    <t>OEPKBOXSR74.50X59.50X180</t>
  </si>
  <si>
    <t>OEPKBOXSR74.50X65.50X180</t>
  </si>
  <si>
    <t>OEPKBOXSR74.50X71.50X180</t>
  </si>
  <si>
    <t>OEPKBOXSR77.50X29.50X180</t>
  </si>
  <si>
    <t>OEPKBOXSR77.50X35.50X180</t>
  </si>
  <si>
    <t>OEPKBOXSR77.50X41.50X180</t>
  </si>
  <si>
    <t>OEPKBOXSR77.50X47.50X180</t>
  </si>
  <si>
    <t>OEPKBOXSR77.50X59.50X180</t>
  </si>
  <si>
    <t>OEPKBOXSR77.50X65.50X180</t>
  </si>
  <si>
    <t>OEPKBOXSR77.50X71.50X180</t>
  </si>
  <si>
    <t>OEPKBOXSR79.50X29.50X180</t>
  </si>
  <si>
    <t>OEPKBOXSR79.50X35.50X180</t>
  </si>
  <si>
    <t>OEPKBOXSR79.50X41.50X180</t>
  </si>
  <si>
    <t>OEPKBOXSR79.50X47.50X180</t>
  </si>
  <si>
    <t>OEPKBOXSR79.50X59.50X180</t>
  </si>
  <si>
    <t>OEPKBOXSR79.50X65.50X180</t>
  </si>
  <si>
    <t>OEPKBOXSR79.50X71.50X180</t>
  </si>
  <si>
    <t>OEPKBOXSR83.50X29.50X180</t>
  </si>
  <si>
    <t>OEPKBOXSR83.50X35.50X180</t>
  </si>
  <si>
    <t>OEPKBOXSR83.50X41.50X180</t>
  </si>
  <si>
    <t>OEPKBOXSR83.50X47.50X180</t>
  </si>
  <si>
    <t>OEPKBOXSR83.50X59.50X180</t>
  </si>
  <si>
    <t>OEPKBOXSR83.50X65.50X180</t>
  </si>
  <si>
    <t>OEPKBOXSR83.50X71.50X180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</si>
</sst>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0" sqref="E1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86</v>
      </c>
      <c r="S1" s="35" t="s">
        <v>87</v>
      </c>
      <c r="T1" s="35" t="s">
        <v>88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12</v>
      </c>
      <c r="D2" s="7" t="str">
        <f>"RTHTMTPKMFET"&amp;$K$2&amp;"X"&amp;$L$2&amp;"X"&amp;IF($M$2=10,$M$2,"0"&amp;$M$2)</f>
        <v>RTHTMTPKMFET75X36X08</v>
      </c>
      <c r="E2" s="1" t="str">
        <f>"OEPKBOXSR"&amp;(K2-0.5)&amp;"0"&amp;"X"&amp;(L2-0.5)&amp;"0"&amp;"X"&amp;IF(M2=6,"110",IF(M2=8,"180",IF(M2=10,"200",0)))</f>
        <v>OEPKBOXSR74.50X35.50X180</v>
      </c>
      <c r="F2" s="38" t="s">
        <v>11</v>
      </c>
      <c r="G2" s="39">
        <v>1</v>
      </c>
      <c r="H2" s="39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4">
        <v>8</v>
      </c>
      <c r="N2" s="6"/>
      <c r="P2" s="4" t="s">
        <v>91</v>
      </c>
      <c r="R2" s="31" t="s">
        <v>92</v>
      </c>
      <c r="S2" s="31" t="s">
        <v>93</v>
      </c>
      <c r="T2" s="31">
        <v>8</v>
      </c>
      <c r="U2" s="32" t="s">
        <v>108</v>
      </c>
    </row>
    <row r="3" spans="1:21" s="18" customFormat="1" x14ac:dyDescent="0.25">
      <c r="A3" s="33">
        <v>2</v>
      </c>
      <c r="B3" s="7" t="s">
        <v>17</v>
      </c>
      <c r="C3" s="7" t="s">
        <v>17</v>
      </c>
      <c r="D3" s="7" t="str">
        <f t="shared" ref="D3:D13" si="1">"RTHTMTPKMFET"&amp;$K$2&amp;"X"&amp;$L$2&amp;"X"&amp;IF($M$2=10,$M$2,"0"&amp;$M$2)</f>
        <v>RTHTMTPKMFET75X36X08</v>
      </c>
      <c r="E3" s="19" t="s">
        <v>109</v>
      </c>
      <c r="F3" s="11" t="s">
        <v>15</v>
      </c>
      <c r="G3" s="10">
        <f>IF(K2&lt;79,(L2+1),(K2+1))*0.0254</f>
        <v>0.93979999999999997</v>
      </c>
      <c r="H3" s="39">
        <f t="shared" ref="H3" si="2">ROUND(G3,3)</f>
        <v>0.94</v>
      </c>
      <c r="I3" s="20" t="s">
        <v>16</v>
      </c>
      <c r="J3" s="5"/>
      <c r="K3" s="17"/>
      <c r="L3" s="17"/>
      <c r="M3" s="17"/>
      <c r="N3" s="17"/>
      <c r="O3" s="4"/>
      <c r="R3" s="31" t="s">
        <v>92</v>
      </c>
      <c r="S3" s="31" t="s">
        <v>94</v>
      </c>
      <c r="T3" s="31">
        <v>8</v>
      </c>
      <c r="U3" s="32" t="s">
        <v>108</v>
      </c>
    </row>
    <row r="4" spans="1:21" x14ac:dyDescent="0.25">
      <c r="A4" s="33">
        <v>5</v>
      </c>
      <c r="B4" s="7" t="s">
        <v>17</v>
      </c>
      <c r="C4" s="7" t="s">
        <v>17</v>
      </c>
      <c r="D4" s="7" t="str">
        <f t="shared" si="1"/>
        <v>RTHTMTPKMFET75X36X08</v>
      </c>
      <c r="E4" s="36" t="s">
        <v>110</v>
      </c>
      <c r="F4" s="11" t="s">
        <v>15</v>
      </c>
      <c r="G4" s="10">
        <f>IF(K2&lt;79,(L2+1),(K2+1))*0.0254</f>
        <v>0.93979999999999997</v>
      </c>
      <c r="H4" s="39">
        <f t="shared" ref="H4:H13" si="3">ROUND(G4,3)</f>
        <v>0.94</v>
      </c>
      <c r="I4" s="20" t="s">
        <v>16</v>
      </c>
      <c r="J4" s="12"/>
      <c r="O4" s="18"/>
      <c r="R4" s="31" t="s">
        <v>92</v>
      </c>
      <c r="S4" s="31" t="s">
        <v>95</v>
      </c>
      <c r="T4" s="31">
        <v>8</v>
      </c>
      <c r="U4" s="32" t="s">
        <v>108</v>
      </c>
    </row>
    <row r="5" spans="1:21" x14ac:dyDescent="0.25">
      <c r="A5" s="33">
        <v>6</v>
      </c>
      <c r="B5" s="7" t="s">
        <v>19</v>
      </c>
      <c r="C5" s="7" t="s">
        <v>19</v>
      </c>
      <c r="D5" s="7" t="str">
        <f t="shared" si="1"/>
        <v>RTHTMTPKMFET75X36X08</v>
      </c>
      <c r="E5" s="9" t="s">
        <v>105</v>
      </c>
      <c r="F5" s="11" t="s">
        <v>106</v>
      </c>
      <c r="G5" s="10">
        <f>((K2-1)*(L2-1)/144)*0.00729*2</f>
        <v>0.26223749999999996</v>
      </c>
      <c r="H5" s="39">
        <f t="shared" si="3"/>
        <v>0.26200000000000001</v>
      </c>
      <c r="I5" s="8" t="s">
        <v>14</v>
      </c>
      <c r="J5" s="12"/>
      <c r="O5" s="18"/>
      <c r="R5" s="31" t="s">
        <v>92</v>
      </c>
      <c r="S5" s="31" t="s">
        <v>96</v>
      </c>
      <c r="T5" s="31">
        <v>8</v>
      </c>
      <c r="U5" s="32" t="s">
        <v>108</v>
      </c>
    </row>
    <row r="6" spans="1:21" x14ac:dyDescent="0.25">
      <c r="A6" s="33">
        <v>7</v>
      </c>
      <c r="B6" s="7" t="s">
        <v>19</v>
      </c>
      <c r="C6" s="7" t="s">
        <v>19</v>
      </c>
      <c r="D6" s="7" t="str">
        <f t="shared" si="1"/>
        <v>RTHTMTPKMFET75X36X08</v>
      </c>
      <c r="E6" s="37" t="s">
        <v>107</v>
      </c>
      <c r="F6" s="15" t="s">
        <v>15</v>
      </c>
      <c r="G6" s="10">
        <f>(K2+L2+4)*2*0.0254*3</f>
        <v>17.526</v>
      </c>
      <c r="H6" s="39">
        <f t="shared" si="3"/>
        <v>17.526</v>
      </c>
      <c r="I6" s="8" t="s">
        <v>14</v>
      </c>
      <c r="J6" s="12"/>
      <c r="R6" s="31" t="s">
        <v>92</v>
      </c>
      <c r="S6" s="31" t="s">
        <v>97</v>
      </c>
      <c r="T6" s="31">
        <v>8</v>
      </c>
      <c r="U6" s="32" t="s">
        <v>108</v>
      </c>
    </row>
    <row r="7" spans="1:21" x14ac:dyDescent="0.25">
      <c r="A7" s="33">
        <v>8</v>
      </c>
      <c r="B7" s="7" t="s">
        <v>19</v>
      </c>
      <c r="C7" s="7" t="s">
        <v>19</v>
      </c>
      <c r="D7" s="7" t="str">
        <f t="shared" si="1"/>
        <v>RTHTMTPKMFET75X36X08</v>
      </c>
      <c r="E7" s="37" t="s">
        <v>18</v>
      </c>
      <c r="F7" s="15" t="s">
        <v>15</v>
      </c>
      <c r="G7" s="10">
        <f>(K2+L2+4)*2*0.0254*(4.73+1.42)*3</f>
        <v>107.78489999999999</v>
      </c>
      <c r="H7" s="39">
        <f t="shared" si="3"/>
        <v>107.785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1" t="s">
        <v>92</v>
      </c>
      <c r="S7" s="31" t="s">
        <v>98</v>
      </c>
      <c r="T7" s="31">
        <v>8</v>
      </c>
      <c r="U7" s="32" t="s">
        <v>108</v>
      </c>
    </row>
    <row r="8" spans="1:21" x14ac:dyDescent="0.25">
      <c r="A8" s="33">
        <v>9</v>
      </c>
      <c r="B8" s="7" t="s">
        <v>20</v>
      </c>
      <c r="C8" s="37" t="s">
        <v>20</v>
      </c>
      <c r="D8" s="7" t="str">
        <f t="shared" si="1"/>
        <v>RTHTMTPKMFET75X36X08</v>
      </c>
      <c r="E8" s="37" t="str">
        <f>IF(M2=6,"RML-CS-PL-6.5""",IF(M2=8,"RML-CS-PL-8.5",IF(M2=10,"RML-CS-PL-10.5",IF(M2=12,"RML-CS-PL-12.25"))))</f>
        <v>RML-CS-PL-8.5</v>
      </c>
      <c r="F8" s="15" t="s">
        <v>11</v>
      </c>
      <c r="G8" s="10">
        <v>4</v>
      </c>
      <c r="H8" s="39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1" t="s">
        <v>92</v>
      </c>
      <c r="S8" s="31" t="s">
        <v>99</v>
      </c>
      <c r="T8" s="31">
        <v>8</v>
      </c>
      <c r="U8" s="32" t="s">
        <v>108</v>
      </c>
    </row>
    <row r="9" spans="1:21" x14ac:dyDescent="0.25">
      <c r="A9" s="33">
        <v>10</v>
      </c>
      <c r="B9" s="7" t="s">
        <v>19</v>
      </c>
      <c r="C9" s="7" t="s">
        <v>19</v>
      </c>
      <c r="D9" s="7" t="str">
        <f t="shared" si="1"/>
        <v>RTHTMTPKMFET75X36X08</v>
      </c>
      <c r="E9" s="37" t="s">
        <v>21</v>
      </c>
      <c r="F9" s="15" t="s">
        <v>11</v>
      </c>
      <c r="G9" s="10">
        <v>1</v>
      </c>
      <c r="H9" s="39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2"/>
      <c r="Q9" s="18"/>
      <c r="R9" s="31" t="s">
        <v>92</v>
      </c>
      <c r="S9" s="31" t="s">
        <v>100</v>
      </c>
      <c r="T9" s="31">
        <v>8</v>
      </c>
      <c r="U9" s="32" t="s">
        <v>108</v>
      </c>
    </row>
    <row r="10" spans="1:21" x14ac:dyDescent="0.25">
      <c r="A10" s="33">
        <v>11</v>
      </c>
      <c r="B10" s="7" t="s">
        <v>20</v>
      </c>
      <c r="C10" s="37" t="s">
        <v>20</v>
      </c>
      <c r="D10" s="7" t="str">
        <f t="shared" si="1"/>
        <v>RTHTMTPKMFET75X36X08</v>
      </c>
      <c r="E10" s="37" t="s">
        <v>22</v>
      </c>
      <c r="F10" s="15" t="s">
        <v>11</v>
      </c>
      <c r="G10" s="14">
        <v>1</v>
      </c>
      <c r="H10" s="39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1" t="s">
        <v>101</v>
      </c>
      <c r="S10" s="31" t="s">
        <v>93</v>
      </c>
      <c r="T10" s="31">
        <v>8</v>
      </c>
      <c r="U10" s="32" t="s">
        <v>108</v>
      </c>
    </row>
    <row r="11" spans="1:21" x14ac:dyDescent="0.25">
      <c r="A11" s="33">
        <v>12</v>
      </c>
      <c r="B11" s="7" t="s">
        <v>20</v>
      </c>
      <c r="C11" s="9" t="s">
        <v>20</v>
      </c>
      <c r="D11" s="7" t="str">
        <f t="shared" si="1"/>
        <v>RTHTMTPKMFET75X36X08</v>
      </c>
      <c r="E11" s="9" t="s">
        <v>23</v>
      </c>
      <c r="F11" s="11" t="s">
        <v>11</v>
      </c>
      <c r="G11" s="14">
        <v>1</v>
      </c>
      <c r="H11" s="39">
        <f t="shared" si="3"/>
        <v>1</v>
      </c>
      <c r="I11" s="8" t="s">
        <v>14</v>
      </c>
      <c r="J11" s="12"/>
      <c r="K11" s="23"/>
      <c r="L11" s="23"/>
      <c r="M11" s="18"/>
      <c r="N11" s="22"/>
      <c r="O11" s="18"/>
      <c r="P11" s="18"/>
      <c r="Q11" s="18"/>
      <c r="R11" s="31" t="s">
        <v>101</v>
      </c>
      <c r="S11" s="31" t="s">
        <v>94</v>
      </c>
      <c r="T11" s="31">
        <v>8</v>
      </c>
      <c r="U11" s="32" t="s">
        <v>108</v>
      </c>
    </row>
    <row r="12" spans="1:21" x14ac:dyDescent="0.25">
      <c r="A12" s="33">
        <v>13</v>
      </c>
      <c r="B12" s="7" t="s">
        <v>20</v>
      </c>
      <c r="C12" s="9" t="s">
        <v>20</v>
      </c>
      <c r="D12" s="7" t="str">
        <f t="shared" si="1"/>
        <v>RTHTMTPKMFET75X36X08</v>
      </c>
      <c r="E12" s="9" t="s">
        <v>111</v>
      </c>
      <c r="F12" s="11" t="s">
        <v>13</v>
      </c>
      <c r="G12" s="10">
        <f>IF(K2&lt;79,((L2*2)+(M2*2)+4),((K2*2)+(M2*2)+4))*0.0254*89.5*0.0254*0.00009*1300</f>
        <v>0.62153295048000001</v>
      </c>
      <c r="H12" s="39">
        <f t="shared" si="3"/>
        <v>0.622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1" t="s">
        <v>101</v>
      </c>
      <c r="S12" s="31" t="s">
        <v>95</v>
      </c>
      <c r="T12" s="31">
        <v>8</v>
      </c>
      <c r="U12" s="32" t="s">
        <v>108</v>
      </c>
    </row>
    <row r="13" spans="1:21" x14ac:dyDescent="0.25">
      <c r="A13" s="33">
        <v>14</v>
      </c>
      <c r="B13" s="7" t="s">
        <v>19</v>
      </c>
      <c r="C13" s="7" t="s">
        <v>19</v>
      </c>
      <c r="D13" s="7" t="str">
        <f t="shared" si="1"/>
        <v>RTHTMTPKMFET75X36X08</v>
      </c>
      <c r="E13" s="40" t="str">
        <f>"60D-MAT-RB-FOAM-"&amp;(K2-0.5)&amp;"0"&amp;"X"&amp;(L2-0.5)&amp;"0"&amp;"X15MM"</f>
        <v>60D-MAT-RB-FOAM-74.50X35.50X15MM</v>
      </c>
      <c r="F13" s="8" t="s">
        <v>11</v>
      </c>
      <c r="G13" s="14">
        <v>1</v>
      </c>
      <c r="H13" s="39">
        <f t="shared" si="3"/>
        <v>1</v>
      </c>
      <c r="I13" s="20" t="s">
        <v>16</v>
      </c>
      <c r="J13" s="12"/>
      <c r="K13" s="21"/>
      <c r="R13" s="31" t="s">
        <v>101</v>
      </c>
      <c r="S13" s="31" t="s">
        <v>96</v>
      </c>
      <c r="T13" s="31">
        <v>8</v>
      </c>
      <c r="U13" s="32" t="s">
        <v>108</v>
      </c>
    </row>
    <row r="14" spans="1:21" x14ac:dyDescent="0.25">
      <c r="J14" s="12"/>
      <c r="M14" s="21"/>
      <c r="O14" s="21"/>
      <c r="R14" s="31" t="s">
        <v>101</v>
      </c>
      <c r="S14" s="31" t="s">
        <v>97</v>
      </c>
      <c r="T14" s="31">
        <v>8</v>
      </c>
      <c r="U14" s="32" t="s">
        <v>108</v>
      </c>
    </row>
    <row r="15" spans="1:21" x14ac:dyDescent="0.25">
      <c r="J15" s="12"/>
      <c r="N15"/>
      <c r="O15"/>
      <c r="R15" s="31" t="s">
        <v>101</v>
      </c>
      <c r="S15" s="31" t="s">
        <v>98</v>
      </c>
      <c r="T15" s="31">
        <v>8</v>
      </c>
      <c r="U15" s="32" t="s">
        <v>108</v>
      </c>
    </row>
    <row r="16" spans="1:21" x14ac:dyDescent="0.25">
      <c r="J16" s="12"/>
      <c r="M16" s="21"/>
      <c r="N16"/>
      <c r="O16"/>
      <c r="R16" s="31" t="s">
        <v>101</v>
      </c>
      <c r="S16" s="31" t="s">
        <v>99</v>
      </c>
      <c r="T16" s="31">
        <v>8</v>
      </c>
      <c r="U16" s="32" t="s">
        <v>108</v>
      </c>
    </row>
    <row r="17" spans="5:21" x14ac:dyDescent="0.25">
      <c r="J17" s="12"/>
      <c r="N17"/>
      <c r="O17"/>
      <c r="R17" s="31" t="s">
        <v>101</v>
      </c>
      <c r="S17" s="31" t="s">
        <v>100</v>
      </c>
      <c r="T17" s="31">
        <v>8</v>
      </c>
      <c r="U17" s="32" t="s">
        <v>108</v>
      </c>
    </row>
    <row r="18" spans="5:21" x14ac:dyDescent="0.25">
      <c r="J18" s="12"/>
      <c r="N18"/>
      <c r="O18"/>
      <c r="R18" s="31" t="s">
        <v>102</v>
      </c>
      <c r="S18" s="31" t="s">
        <v>93</v>
      </c>
      <c r="T18" s="31">
        <v>8</v>
      </c>
      <c r="U18" s="32" t="s">
        <v>108</v>
      </c>
    </row>
    <row r="19" spans="5:21" x14ac:dyDescent="0.25">
      <c r="J19" s="12"/>
      <c r="N19"/>
      <c r="O19"/>
      <c r="R19" s="31" t="s">
        <v>102</v>
      </c>
      <c r="S19" s="31" t="s">
        <v>94</v>
      </c>
      <c r="T19" s="31">
        <v>8</v>
      </c>
      <c r="U19" s="32" t="s">
        <v>108</v>
      </c>
    </row>
    <row r="20" spans="5:21" x14ac:dyDescent="0.25">
      <c r="J20" s="12"/>
      <c r="N20" s="30"/>
      <c r="O20"/>
      <c r="R20" s="31" t="s">
        <v>102</v>
      </c>
      <c r="S20" s="31" t="s">
        <v>95</v>
      </c>
      <c r="T20" s="31">
        <v>8</v>
      </c>
      <c r="U20" s="32" t="s">
        <v>108</v>
      </c>
    </row>
    <row r="21" spans="5:21" x14ac:dyDescent="0.25">
      <c r="J21" s="12"/>
      <c r="N21"/>
      <c r="O21"/>
      <c r="R21" s="31" t="s">
        <v>102</v>
      </c>
      <c r="S21" s="31" t="s">
        <v>96</v>
      </c>
      <c r="T21" s="31">
        <v>8</v>
      </c>
      <c r="U21" s="32" t="s">
        <v>108</v>
      </c>
    </row>
    <row r="22" spans="5:21" x14ac:dyDescent="0.25">
      <c r="J22" s="12"/>
      <c r="N22"/>
      <c r="O22"/>
      <c r="R22" s="31" t="s">
        <v>102</v>
      </c>
      <c r="S22" s="31" t="s">
        <v>97</v>
      </c>
      <c r="T22" s="31">
        <v>8</v>
      </c>
      <c r="U22" s="32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102</v>
      </c>
      <c r="S23" s="31" t="s">
        <v>98</v>
      </c>
      <c r="T23" s="31">
        <v>8</v>
      </c>
      <c r="U23" s="32" t="s">
        <v>108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102</v>
      </c>
      <c r="S24" s="31" t="s">
        <v>99</v>
      </c>
      <c r="T24" s="31">
        <v>8</v>
      </c>
      <c r="U24" s="32" t="s">
        <v>108</v>
      </c>
    </row>
    <row r="25" spans="5:21" x14ac:dyDescent="0.25">
      <c r="N25"/>
      <c r="O25"/>
      <c r="R25" s="31" t="s">
        <v>102</v>
      </c>
      <c r="S25" s="31" t="s">
        <v>100</v>
      </c>
      <c r="T25" s="31">
        <v>8</v>
      </c>
      <c r="U25" s="32" t="s">
        <v>108</v>
      </c>
    </row>
    <row r="26" spans="5:21" x14ac:dyDescent="0.25">
      <c r="N26"/>
      <c r="O26"/>
      <c r="R26" s="31" t="s">
        <v>103</v>
      </c>
      <c r="S26" s="31" t="s">
        <v>93</v>
      </c>
      <c r="T26" s="31">
        <v>8</v>
      </c>
      <c r="U26" s="32" t="s">
        <v>108</v>
      </c>
    </row>
    <row r="27" spans="5:21" x14ac:dyDescent="0.25">
      <c r="N27"/>
      <c r="O27"/>
      <c r="R27" s="31" t="s">
        <v>103</v>
      </c>
      <c r="S27" s="31" t="s">
        <v>94</v>
      </c>
      <c r="T27" s="31">
        <v>8</v>
      </c>
      <c r="U27" s="32" t="s">
        <v>108</v>
      </c>
    </row>
    <row r="28" spans="5:21" x14ac:dyDescent="0.25">
      <c r="E28" s="21"/>
      <c r="I28" s="21"/>
      <c r="M28" s="21"/>
      <c r="N28"/>
      <c r="O28"/>
      <c r="R28" s="31" t="s">
        <v>103</v>
      </c>
      <c r="S28" s="31" t="s">
        <v>95</v>
      </c>
      <c r="T28" s="31">
        <v>8</v>
      </c>
      <c r="U28" s="32" t="s">
        <v>108</v>
      </c>
    </row>
    <row r="29" spans="5:21" x14ac:dyDescent="0.25">
      <c r="E29" s="21"/>
      <c r="N29"/>
      <c r="O29"/>
      <c r="R29" s="31" t="s">
        <v>103</v>
      </c>
      <c r="S29" s="31" t="s">
        <v>96</v>
      </c>
      <c r="T29" s="31">
        <v>8</v>
      </c>
      <c r="U29" s="32" t="s">
        <v>108</v>
      </c>
    </row>
    <row r="30" spans="5:21" x14ac:dyDescent="0.25">
      <c r="H30" s="21"/>
      <c r="N30"/>
      <c r="O30"/>
      <c r="R30" s="31" t="s">
        <v>103</v>
      </c>
      <c r="S30" s="31" t="s">
        <v>97</v>
      </c>
      <c r="T30" s="31">
        <v>8</v>
      </c>
      <c r="U30" s="32" t="s">
        <v>108</v>
      </c>
    </row>
    <row r="31" spans="5:21" x14ac:dyDescent="0.25">
      <c r="N31"/>
      <c r="O31"/>
      <c r="R31" s="31" t="s">
        <v>103</v>
      </c>
      <c r="S31" s="31" t="s">
        <v>98</v>
      </c>
      <c r="T31" s="31">
        <v>8</v>
      </c>
      <c r="U31" s="32" t="s">
        <v>108</v>
      </c>
    </row>
    <row r="32" spans="5:21" x14ac:dyDescent="0.25">
      <c r="N32"/>
      <c r="O32"/>
      <c r="R32" s="31" t="s">
        <v>103</v>
      </c>
      <c r="S32" s="31" t="s">
        <v>99</v>
      </c>
      <c r="T32" s="31">
        <v>8</v>
      </c>
      <c r="U32" s="32" t="s">
        <v>108</v>
      </c>
    </row>
    <row r="33" spans="14:21" x14ac:dyDescent="0.25">
      <c r="N33"/>
      <c r="O33"/>
      <c r="R33" s="31" t="s">
        <v>103</v>
      </c>
      <c r="S33" s="31" t="s">
        <v>100</v>
      </c>
      <c r="T33" s="31">
        <v>8</v>
      </c>
      <c r="U33" s="32" t="s">
        <v>108</v>
      </c>
    </row>
    <row r="34" spans="14:21" x14ac:dyDescent="0.25">
      <c r="N34"/>
      <c r="O34"/>
      <c r="R34" s="31" t="s">
        <v>104</v>
      </c>
      <c r="S34" s="31" t="s">
        <v>93</v>
      </c>
      <c r="T34" s="31">
        <v>8</v>
      </c>
      <c r="U34" s="32" t="s">
        <v>108</v>
      </c>
    </row>
    <row r="35" spans="14:21" x14ac:dyDescent="0.25">
      <c r="N35"/>
      <c r="O35"/>
      <c r="R35" s="31" t="s">
        <v>104</v>
      </c>
      <c r="S35" s="31" t="s">
        <v>94</v>
      </c>
      <c r="T35" s="31">
        <v>8</v>
      </c>
      <c r="U35" s="32" t="s">
        <v>108</v>
      </c>
    </row>
    <row r="36" spans="14:21" x14ac:dyDescent="0.25">
      <c r="N36"/>
      <c r="O36"/>
      <c r="R36" s="31" t="s">
        <v>104</v>
      </c>
      <c r="S36" s="31" t="s">
        <v>95</v>
      </c>
      <c r="T36" s="31">
        <v>8</v>
      </c>
      <c r="U36" s="32" t="s">
        <v>108</v>
      </c>
    </row>
    <row r="37" spans="14:21" x14ac:dyDescent="0.25">
      <c r="N37"/>
      <c r="O37"/>
      <c r="R37" s="31" t="s">
        <v>104</v>
      </c>
      <c r="S37" s="31" t="s">
        <v>96</v>
      </c>
      <c r="T37" s="31">
        <v>8</v>
      </c>
      <c r="U37" s="32" t="s">
        <v>108</v>
      </c>
    </row>
    <row r="38" spans="14:21" x14ac:dyDescent="0.25">
      <c r="N38"/>
      <c r="O38"/>
      <c r="R38" s="31" t="s">
        <v>104</v>
      </c>
      <c r="S38" s="31" t="s">
        <v>97</v>
      </c>
      <c r="T38" s="31">
        <v>8</v>
      </c>
      <c r="U38" s="32" t="s">
        <v>108</v>
      </c>
    </row>
    <row r="39" spans="14:21" x14ac:dyDescent="0.25">
      <c r="N39"/>
      <c r="O39"/>
      <c r="R39" s="31" t="s">
        <v>104</v>
      </c>
      <c r="S39" s="31" t="s">
        <v>98</v>
      </c>
      <c r="T39" s="31">
        <v>8</v>
      </c>
      <c r="U39" s="32" t="s">
        <v>108</v>
      </c>
    </row>
    <row r="40" spans="14:21" x14ac:dyDescent="0.25">
      <c r="N40"/>
      <c r="O40"/>
      <c r="R40" s="31" t="s">
        <v>104</v>
      </c>
      <c r="S40" s="31" t="s">
        <v>99</v>
      </c>
      <c r="T40" s="31">
        <v>8</v>
      </c>
      <c r="U40" s="32" t="s">
        <v>108</v>
      </c>
    </row>
    <row r="41" spans="14:21" x14ac:dyDescent="0.25">
      <c r="N41"/>
      <c r="O41"/>
      <c r="R41" s="31" t="s">
        <v>104</v>
      </c>
      <c r="S41" s="31" t="s">
        <v>100</v>
      </c>
      <c r="T41" s="31">
        <v>8</v>
      </c>
      <c r="U41" s="32" t="s">
        <v>108</v>
      </c>
    </row>
    <row r="42" spans="14:21" x14ac:dyDescent="0.25">
      <c r="N42"/>
      <c r="O42"/>
      <c r="R42" s="31">
        <v>72</v>
      </c>
      <c r="S42" s="31">
        <v>30</v>
      </c>
      <c r="T42" s="31">
        <v>8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8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8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8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8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8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8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8</v>
      </c>
      <c r="U49" s="32"/>
    </row>
    <row r="50" spans="14:21" x14ac:dyDescent="0.25">
      <c r="R50" s="31">
        <v>75</v>
      </c>
      <c r="S50" s="31">
        <v>36</v>
      </c>
      <c r="T50" s="31">
        <v>8</v>
      </c>
      <c r="U50" s="32"/>
    </row>
    <row r="51" spans="14:21" x14ac:dyDescent="0.25">
      <c r="R51" s="31">
        <v>75</v>
      </c>
      <c r="S51" s="31">
        <v>42</v>
      </c>
      <c r="T51" s="31">
        <v>8</v>
      </c>
      <c r="U51" s="32"/>
    </row>
    <row r="52" spans="14:21" x14ac:dyDescent="0.25">
      <c r="R52" s="31">
        <v>75</v>
      </c>
      <c r="S52" s="31">
        <v>48</v>
      </c>
      <c r="T52" s="31">
        <v>8</v>
      </c>
      <c r="U52" s="32"/>
    </row>
    <row r="53" spans="14:21" x14ac:dyDescent="0.25">
      <c r="R53" s="31">
        <v>75</v>
      </c>
      <c r="S53" s="31">
        <v>60</v>
      </c>
      <c r="T53" s="31">
        <v>8</v>
      </c>
      <c r="U53" s="32"/>
    </row>
    <row r="54" spans="14:21" x14ac:dyDescent="0.25">
      <c r="R54" s="31">
        <v>75</v>
      </c>
      <c r="S54" s="31">
        <v>66</v>
      </c>
      <c r="T54" s="31">
        <v>8</v>
      </c>
      <c r="U54" s="32"/>
    </row>
    <row r="55" spans="14:21" x14ac:dyDescent="0.25">
      <c r="R55" s="31">
        <v>75</v>
      </c>
      <c r="S55" s="31">
        <v>72</v>
      </c>
      <c r="T55" s="31">
        <v>8</v>
      </c>
      <c r="U55" s="32"/>
    </row>
    <row r="56" spans="14:21" x14ac:dyDescent="0.25">
      <c r="R56" s="31">
        <v>78</v>
      </c>
      <c r="S56" s="31">
        <v>30</v>
      </c>
      <c r="T56" s="31">
        <v>8</v>
      </c>
      <c r="U56" s="32"/>
    </row>
    <row r="57" spans="14:21" x14ac:dyDescent="0.25">
      <c r="R57" s="31">
        <v>78</v>
      </c>
      <c r="S57" s="31">
        <v>36</v>
      </c>
      <c r="T57" s="31">
        <v>8</v>
      </c>
      <c r="U57" s="32"/>
    </row>
    <row r="58" spans="14:21" x14ac:dyDescent="0.25">
      <c r="R58" s="31">
        <v>78</v>
      </c>
      <c r="S58" s="31">
        <v>42</v>
      </c>
      <c r="T58" s="31">
        <v>8</v>
      </c>
      <c r="U58" s="32"/>
    </row>
    <row r="59" spans="14:21" x14ac:dyDescent="0.25">
      <c r="R59" s="31">
        <v>78</v>
      </c>
      <c r="S59" s="31">
        <v>48</v>
      </c>
      <c r="T59" s="31">
        <v>8</v>
      </c>
      <c r="U59" s="32"/>
    </row>
    <row r="60" spans="14:21" x14ac:dyDescent="0.25">
      <c r="R60" s="31">
        <v>78</v>
      </c>
      <c r="S60" s="31">
        <v>60</v>
      </c>
      <c r="T60" s="31">
        <v>8</v>
      </c>
      <c r="U60" s="32"/>
    </row>
    <row r="61" spans="14:21" x14ac:dyDescent="0.25">
      <c r="R61" s="31">
        <v>78</v>
      </c>
      <c r="S61" s="31">
        <v>66</v>
      </c>
      <c r="T61" s="31">
        <v>8</v>
      </c>
      <c r="U61" s="32"/>
    </row>
    <row r="62" spans="14:21" x14ac:dyDescent="0.25">
      <c r="R62" s="31">
        <v>78</v>
      </c>
      <c r="S62" s="31">
        <v>72</v>
      </c>
      <c r="T62" s="31">
        <v>8</v>
      </c>
      <c r="U62" s="32"/>
    </row>
    <row r="63" spans="14:21" x14ac:dyDescent="0.25">
      <c r="R63" s="31">
        <v>80</v>
      </c>
      <c r="S63" s="31">
        <v>30</v>
      </c>
      <c r="T63" s="31">
        <v>8</v>
      </c>
      <c r="U63" s="32"/>
    </row>
    <row r="64" spans="14:21" x14ac:dyDescent="0.25">
      <c r="R64" s="31">
        <v>80</v>
      </c>
      <c r="S64" s="31">
        <v>36</v>
      </c>
      <c r="T64" s="31">
        <v>8</v>
      </c>
      <c r="U64" s="32"/>
    </row>
    <row r="65" spans="18:21" x14ac:dyDescent="0.25">
      <c r="R65" s="31">
        <v>80</v>
      </c>
      <c r="S65" s="31">
        <v>42</v>
      </c>
      <c r="T65" s="31">
        <v>8</v>
      </c>
      <c r="U65" s="32"/>
    </row>
    <row r="66" spans="18:21" x14ac:dyDescent="0.25">
      <c r="R66" s="31">
        <v>80</v>
      </c>
      <c r="S66" s="31">
        <v>48</v>
      </c>
      <c r="T66" s="31">
        <v>8</v>
      </c>
      <c r="U66" s="32"/>
    </row>
    <row r="67" spans="18:21" x14ac:dyDescent="0.25">
      <c r="R67" s="31">
        <v>80</v>
      </c>
      <c r="S67" s="31">
        <v>60</v>
      </c>
      <c r="T67" s="31">
        <v>8</v>
      </c>
      <c r="U67" s="32"/>
    </row>
    <row r="68" spans="18:21" x14ac:dyDescent="0.25">
      <c r="R68" s="31">
        <v>80</v>
      </c>
      <c r="S68" s="31">
        <v>66</v>
      </c>
      <c r="T68" s="31">
        <v>8</v>
      </c>
      <c r="U68" s="32"/>
    </row>
    <row r="69" spans="18:21" x14ac:dyDescent="0.25">
      <c r="R69" s="31">
        <v>80</v>
      </c>
      <c r="S69" s="31">
        <v>72</v>
      </c>
      <c r="T69" s="31">
        <v>8</v>
      </c>
      <c r="U69" s="32"/>
    </row>
    <row r="70" spans="18:21" x14ac:dyDescent="0.25">
      <c r="R70" s="31">
        <v>84</v>
      </c>
      <c r="S70" s="31">
        <v>30</v>
      </c>
      <c r="T70" s="31">
        <v>8</v>
      </c>
      <c r="U70" s="32"/>
    </row>
    <row r="71" spans="18:21" x14ac:dyDescent="0.25">
      <c r="R71" s="31">
        <v>84</v>
      </c>
      <c r="S71" s="31">
        <v>36</v>
      </c>
      <c r="T71" s="31">
        <v>8</v>
      </c>
      <c r="U71" s="32"/>
    </row>
    <row r="72" spans="18:21" x14ac:dyDescent="0.25">
      <c r="R72" s="31">
        <v>84</v>
      </c>
      <c r="S72" s="31">
        <v>42</v>
      </c>
      <c r="T72" s="31">
        <v>8</v>
      </c>
      <c r="U72" s="32"/>
    </row>
    <row r="73" spans="18:21" x14ac:dyDescent="0.25">
      <c r="R73" s="31">
        <v>84</v>
      </c>
      <c r="S73" s="31">
        <v>48</v>
      </c>
      <c r="T73" s="31">
        <v>8</v>
      </c>
      <c r="U73" s="32"/>
    </row>
    <row r="74" spans="18:21" x14ac:dyDescent="0.25">
      <c r="R74" s="31">
        <v>84</v>
      </c>
      <c r="S74" s="31">
        <v>60</v>
      </c>
      <c r="T74" s="31">
        <v>8</v>
      </c>
      <c r="U74" s="32"/>
    </row>
    <row r="75" spans="18:21" x14ac:dyDescent="0.25">
      <c r="R75" s="31">
        <v>84</v>
      </c>
      <c r="S75" s="31">
        <v>66</v>
      </c>
      <c r="T75" s="31">
        <v>8</v>
      </c>
      <c r="U75" s="32"/>
    </row>
    <row r="76" spans="18:21" x14ac:dyDescent="0.25">
      <c r="R76" s="31">
        <v>84</v>
      </c>
      <c r="S76" s="31">
        <v>72</v>
      </c>
      <c r="T76" s="31">
        <v>8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80</v>
      </c>
      <c r="B1" s="28" t="s">
        <v>81</v>
      </c>
      <c r="C1" s="29" t="s">
        <v>82</v>
      </c>
      <c r="D1" s="28" t="s">
        <v>83</v>
      </c>
      <c r="E1" s="28" t="s">
        <v>4</v>
      </c>
      <c r="F1" s="28" t="s">
        <v>84</v>
      </c>
      <c r="G1" s="29" t="s">
        <v>85</v>
      </c>
    </row>
    <row r="2" spans="1:7" x14ac:dyDescent="0.25">
      <c r="A2">
        <v>1</v>
      </c>
      <c r="B2" t="s">
        <v>112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112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112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112</v>
      </c>
      <c r="C5">
        <v>40</v>
      </c>
      <c r="D5" t="s">
        <v>105</v>
      </c>
      <c r="E5" t="s">
        <v>106</v>
      </c>
      <c r="F5">
        <v>0.23</v>
      </c>
      <c r="G5" t="s">
        <v>14</v>
      </c>
    </row>
    <row r="6" spans="1:7" x14ac:dyDescent="0.25">
      <c r="A6">
        <v>1</v>
      </c>
      <c r="B6" t="s">
        <v>112</v>
      </c>
      <c r="C6">
        <v>50</v>
      </c>
      <c r="D6" t="s">
        <v>107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112</v>
      </c>
      <c r="C7">
        <v>60</v>
      </c>
      <c r="D7" t="s">
        <v>18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112</v>
      </c>
      <c r="C8">
        <v>70</v>
      </c>
      <c r="D8" t="s">
        <v>113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112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112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112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112</v>
      </c>
      <c r="C12">
        <v>110</v>
      </c>
      <c r="D12" t="s">
        <v>111</v>
      </c>
      <c r="E12" t="s">
        <v>13</v>
      </c>
      <c r="F12">
        <v>0.58099999999999996</v>
      </c>
      <c r="G12" t="s">
        <v>14</v>
      </c>
    </row>
    <row r="13" spans="1:7" x14ac:dyDescent="0.25">
      <c r="A13">
        <v>1</v>
      </c>
      <c r="B13" t="s">
        <v>112</v>
      </c>
      <c r="C13">
        <v>120</v>
      </c>
      <c r="D13" t="s">
        <v>153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114</v>
      </c>
      <c r="C14">
        <v>10</v>
      </c>
      <c r="D14" t="s">
        <v>264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114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40</v>
      </c>
      <c r="D17" t="s">
        <v>105</v>
      </c>
      <c r="E17" t="s">
        <v>106</v>
      </c>
      <c r="F17">
        <v>0.27300000000000002</v>
      </c>
      <c r="G17" t="s">
        <v>14</v>
      </c>
    </row>
    <row r="18" spans="1:7" x14ac:dyDescent="0.25">
      <c r="A18">
        <v>2</v>
      </c>
      <c r="B18" t="s">
        <v>114</v>
      </c>
      <c r="C18">
        <v>50</v>
      </c>
      <c r="D18" t="s">
        <v>107</v>
      </c>
      <c r="E18" t="s">
        <v>15</v>
      </c>
      <c r="F18">
        <v>17.526</v>
      </c>
      <c r="G18" t="s">
        <v>14</v>
      </c>
    </row>
    <row r="19" spans="1:7" x14ac:dyDescent="0.25">
      <c r="A19">
        <v>2</v>
      </c>
      <c r="B19" t="s">
        <v>114</v>
      </c>
      <c r="C19">
        <v>60</v>
      </c>
      <c r="D19" t="s">
        <v>18</v>
      </c>
      <c r="E19" t="s">
        <v>15</v>
      </c>
      <c r="F19">
        <v>107.785</v>
      </c>
      <c r="G19" t="s">
        <v>14</v>
      </c>
    </row>
    <row r="20" spans="1:7" x14ac:dyDescent="0.25">
      <c r="A20">
        <v>2</v>
      </c>
      <c r="B20" t="s">
        <v>114</v>
      </c>
      <c r="C20">
        <v>70</v>
      </c>
      <c r="D20" t="s">
        <v>113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114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114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114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110</v>
      </c>
      <c r="D24" t="s">
        <v>111</v>
      </c>
      <c r="E24" t="s">
        <v>13</v>
      </c>
      <c r="F24">
        <v>0.66200000000000003</v>
      </c>
      <c r="G24" t="s">
        <v>14</v>
      </c>
    </row>
    <row r="25" spans="1:7" x14ac:dyDescent="0.25">
      <c r="A25">
        <v>2</v>
      </c>
      <c r="B25" t="s">
        <v>114</v>
      </c>
      <c r="C25">
        <v>120</v>
      </c>
      <c r="D25" t="s">
        <v>154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115</v>
      </c>
      <c r="C26">
        <v>10</v>
      </c>
      <c r="D26" t="s">
        <v>265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115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115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115</v>
      </c>
      <c r="C29">
        <v>40</v>
      </c>
      <c r="D29" t="s">
        <v>105</v>
      </c>
      <c r="E29" t="s">
        <v>106</v>
      </c>
      <c r="F29">
        <v>0.316</v>
      </c>
      <c r="G29" t="s">
        <v>14</v>
      </c>
    </row>
    <row r="30" spans="1:7" x14ac:dyDescent="0.25">
      <c r="A30">
        <v>3</v>
      </c>
      <c r="B30" t="s">
        <v>115</v>
      </c>
      <c r="C30">
        <v>50</v>
      </c>
      <c r="D30" t="s">
        <v>107</v>
      </c>
      <c r="E30" t="s">
        <v>15</v>
      </c>
      <c r="F30">
        <v>18.440000000000001</v>
      </c>
      <c r="G30" t="s">
        <v>14</v>
      </c>
    </row>
    <row r="31" spans="1:7" x14ac:dyDescent="0.25">
      <c r="A31">
        <v>3</v>
      </c>
      <c r="B31" t="s">
        <v>115</v>
      </c>
      <c r="C31">
        <v>60</v>
      </c>
      <c r="D31" t="s">
        <v>18</v>
      </c>
      <c r="E31" t="s">
        <v>15</v>
      </c>
      <c r="F31">
        <v>113.408</v>
      </c>
      <c r="G31" t="s">
        <v>14</v>
      </c>
    </row>
    <row r="32" spans="1:7" x14ac:dyDescent="0.25">
      <c r="A32">
        <v>3</v>
      </c>
      <c r="B32" t="s">
        <v>115</v>
      </c>
      <c r="C32">
        <v>70</v>
      </c>
      <c r="D32" t="s">
        <v>113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115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115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115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115</v>
      </c>
      <c r="C36">
        <v>110</v>
      </c>
      <c r="D36" t="s">
        <v>111</v>
      </c>
      <c r="E36" t="s">
        <v>13</v>
      </c>
      <c r="F36">
        <v>0.74299999999999999</v>
      </c>
      <c r="G36" t="s">
        <v>14</v>
      </c>
    </row>
    <row r="37" spans="1:7" x14ac:dyDescent="0.25">
      <c r="A37">
        <v>3</v>
      </c>
      <c r="B37" t="s">
        <v>115</v>
      </c>
      <c r="C37">
        <v>120</v>
      </c>
      <c r="D37" t="s">
        <v>155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116</v>
      </c>
      <c r="C38">
        <v>10</v>
      </c>
      <c r="D38" t="s">
        <v>266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116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116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116</v>
      </c>
      <c r="C41">
        <v>40</v>
      </c>
      <c r="D41" t="s">
        <v>105</v>
      </c>
      <c r="E41" t="s">
        <v>106</v>
      </c>
      <c r="F41">
        <v>0.35899999999999999</v>
      </c>
      <c r="G41" t="s">
        <v>14</v>
      </c>
    </row>
    <row r="42" spans="1:7" x14ac:dyDescent="0.25">
      <c r="A42">
        <v>4</v>
      </c>
      <c r="B42" t="s">
        <v>116</v>
      </c>
      <c r="C42">
        <v>50</v>
      </c>
      <c r="D42" t="s">
        <v>107</v>
      </c>
      <c r="E42" t="s">
        <v>15</v>
      </c>
      <c r="F42">
        <v>19.355</v>
      </c>
      <c r="G42" t="s">
        <v>14</v>
      </c>
    </row>
    <row r="43" spans="1:7" x14ac:dyDescent="0.25">
      <c r="A43">
        <v>4</v>
      </c>
      <c r="B43" t="s">
        <v>116</v>
      </c>
      <c r="C43">
        <v>60</v>
      </c>
      <c r="D43" t="s">
        <v>18</v>
      </c>
      <c r="E43" t="s">
        <v>15</v>
      </c>
      <c r="F43">
        <v>119.032</v>
      </c>
      <c r="G43" t="s">
        <v>14</v>
      </c>
    </row>
    <row r="44" spans="1:7" x14ac:dyDescent="0.25">
      <c r="A44">
        <v>4</v>
      </c>
      <c r="B44" t="s">
        <v>116</v>
      </c>
      <c r="C44">
        <v>70</v>
      </c>
      <c r="D44" t="s">
        <v>113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116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116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116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116</v>
      </c>
      <c r="C48">
        <v>110</v>
      </c>
      <c r="D48" t="s">
        <v>111</v>
      </c>
      <c r="E48" t="s">
        <v>13</v>
      </c>
      <c r="F48">
        <v>0.82399999999999995</v>
      </c>
      <c r="G48" t="s">
        <v>14</v>
      </c>
    </row>
    <row r="49" spans="1:7" x14ac:dyDescent="0.25">
      <c r="A49">
        <v>4</v>
      </c>
      <c r="B49" t="s">
        <v>116</v>
      </c>
      <c r="C49">
        <v>120</v>
      </c>
      <c r="D49" t="s">
        <v>156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117</v>
      </c>
      <c r="C50">
        <v>10</v>
      </c>
      <c r="D50" t="s">
        <v>267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117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117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117</v>
      </c>
      <c r="C53">
        <v>40</v>
      </c>
      <c r="D53" t="s">
        <v>105</v>
      </c>
      <c r="E53" t="s">
        <v>106</v>
      </c>
      <c r="F53">
        <v>0.38100000000000001</v>
      </c>
      <c r="G53" t="s">
        <v>14</v>
      </c>
    </row>
    <row r="54" spans="1:7" x14ac:dyDescent="0.25">
      <c r="A54">
        <v>5</v>
      </c>
      <c r="B54" t="s">
        <v>117</v>
      </c>
      <c r="C54">
        <v>50</v>
      </c>
      <c r="D54" t="s">
        <v>107</v>
      </c>
      <c r="E54" t="s">
        <v>15</v>
      </c>
      <c r="F54">
        <v>19.812000000000001</v>
      </c>
      <c r="G54" t="s">
        <v>14</v>
      </c>
    </row>
    <row r="55" spans="1:7" x14ac:dyDescent="0.25">
      <c r="A55">
        <v>5</v>
      </c>
      <c r="B55" t="s">
        <v>117</v>
      </c>
      <c r="C55">
        <v>60</v>
      </c>
      <c r="D55" t="s">
        <v>18</v>
      </c>
      <c r="E55" t="s">
        <v>15</v>
      </c>
      <c r="F55">
        <v>121.84399999999999</v>
      </c>
      <c r="G55" t="s">
        <v>14</v>
      </c>
    </row>
    <row r="56" spans="1:7" x14ac:dyDescent="0.25">
      <c r="A56">
        <v>5</v>
      </c>
      <c r="B56" t="s">
        <v>117</v>
      </c>
      <c r="C56">
        <v>70</v>
      </c>
      <c r="D56" t="s">
        <v>113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117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117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117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117</v>
      </c>
      <c r="C60">
        <v>110</v>
      </c>
      <c r="D60" t="s">
        <v>111</v>
      </c>
      <c r="E60" t="s">
        <v>13</v>
      </c>
      <c r="F60">
        <v>0.86499999999999999</v>
      </c>
      <c r="G60" t="s">
        <v>14</v>
      </c>
    </row>
    <row r="61" spans="1:7" x14ac:dyDescent="0.25">
      <c r="A61">
        <v>5</v>
      </c>
      <c r="B61" t="s">
        <v>117</v>
      </c>
      <c r="C61">
        <v>120</v>
      </c>
      <c r="D61" t="s">
        <v>157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118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118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118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118</v>
      </c>
      <c r="C65">
        <v>40</v>
      </c>
      <c r="D65" t="s">
        <v>105</v>
      </c>
      <c r="E65" t="s">
        <v>106</v>
      </c>
      <c r="F65">
        <v>0.40300000000000002</v>
      </c>
      <c r="G65" t="s">
        <v>14</v>
      </c>
    </row>
    <row r="66" spans="1:7" x14ac:dyDescent="0.25">
      <c r="A66">
        <v>6</v>
      </c>
      <c r="B66" t="s">
        <v>118</v>
      </c>
      <c r="C66">
        <v>50</v>
      </c>
      <c r="D66" t="s">
        <v>107</v>
      </c>
      <c r="E66" t="s">
        <v>15</v>
      </c>
      <c r="F66">
        <v>20.268999999999998</v>
      </c>
      <c r="G66" t="s">
        <v>14</v>
      </c>
    </row>
    <row r="67" spans="1:7" x14ac:dyDescent="0.25">
      <c r="A67">
        <v>6</v>
      </c>
      <c r="B67" t="s">
        <v>118</v>
      </c>
      <c r="C67">
        <v>60</v>
      </c>
      <c r="D67" t="s">
        <v>18</v>
      </c>
      <c r="E67" t="s">
        <v>15</v>
      </c>
      <c r="F67">
        <v>124.65600000000001</v>
      </c>
      <c r="G67" t="s">
        <v>14</v>
      </c>
    </row>
    <row r="68" spans="1:7" x14ac:dyDescent="0.25">
      <c r="A68">
        <v>6</v>
      </c>
      <c r="B68" t="s">
        <v>118</v>
      </c>
      <c r="C68">
        <v>70</v>
      </c>
      <c r="D68" t="s">
        <v>113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118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118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118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118</v>
      </c>
      <c r="C72">
        <v>110</v>
      </c>
      <c r="D72" t="s">
        <v>111</v>
      </c>
      <c r="E72" t="s">
        <v>13</v>
      </c>
      <c r="F72">
        <v>0.90500000000000003</v>
      </c>
      <c r="G72" t="s">
        <v>14</v>
      </c>
    </row>
    <row r="73" spans="1:7" x14ac:dyDescent="0.25">
      <c r="A73">
        <v>6</v>
      </c>
      <c r="B73" t="s">
        <v>118</v>
      </c>
      <c r="C73">
        <v>120</v>
      </c>
      <c r="D73" t="s">
        <v>158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119</v>
      </c>
      <c r="C74">
        <v>10</v>
      </c>
      <c r="D74" t="s">
        <v>269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119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119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119</v>
      </c>
      <c r="C77">
        <v>40</v>
      </c>
      <c r="D77" t="s">
        <v>105</v>
      </c>
      <c r="E77" t="s">
        <v>106</v>
      </c>
      <c r="F77">
        <v>0.44600000000000001</v>
      </c>
      <c r="G77" t="s">
        <v>14</v>
      </c>
    </row>
    <row r="78" spans="1:7" x14ac:dyDescent="0.25">
      <c r="A78">
        <v>7</v>
      </c>
      <c r="B78" t="s">
        <v>119</v>
      </c>
      <c r="C78">
        <v>50</v>
      </c>
      <c r="D78" t="s">
        <v>107</v>
      </c>
      <c r="E78" t="s">
        <v>15</v>
      </c>
      <c r="F78">
        <v>21.184000000000001</v>
      </c>
      <c r="G78" t="s">
        <v>14</v>
      </c>
    </row>
    <row r="79" spans="1:7" x14ac:dyDescent="0.25">
      <c r="A79">
        <v>7</v>
      </c>
      <c r="B79" t="s">
        <v>119</v>
      </c>
      <c r="C79">
        <v>60</v>
      </c>
      <c r="D79" t="s">
        <v>18</v>
      </c>
      <c r="E79" t="s">
        <v>15</v>
      </c>
      <c r="F79">
        <v>130.279</v>
      </c>
      <c r="G79" t="s">
        <v>14</v>
      </c>
    </row>
    <row r="80" spans="1:7" x14ac:dyDescent="0.25">
      <c r="A80">
        <v>7</v>
      </c>
      <c r="B80" t="s">
        <v>119</v>
      </c>
      <c r="C80">
        <v>70</v>
      </c>
      <c r="D80" t="s">
        <v>113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119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119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119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119</v>
      </c>
      <c r="C84">
        <v>110</v>
      </c>
      <c r="D84" t="s">
        <v>111</v>
      </c>
      <c r="E84" t="s">
        <v>13</v>
      </c>
      <c r="F84">
        <v>0.98599999999999999</v>
      </c>
      <c r="G84" t="s">
        <v>14</v>
      </c>
    </row>
    <row r="85" spans="1:7" x14ac:dyDescent="0.25">
      <c r="A85">
        <v>7</v>
      </c>
      <c r="B85" t="s">
        <v>119</v>
      </c>
      <c r="C85">
        <v>120</v>
      </c>
      <c r="D85" t="s">
        <v>159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120</v>
      </c>
      <c r="C86">
        <v>10</v>
      </c>
      <c r="D86" t="s">
        <v>270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120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120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120</v>
      </c>
      <c r="C89">
        <v>40</v>
      </c>
      <c r="D89" t="s">
        <v>105</v>
      </c>
      <c r="E89" t="s">
        <v>106</v>
      </c>
      <c r="F89">
        <v>0.48899999999999999</v>
      </c>
      <c r="G89" t="s">
        <v>14</v>
      </c>
    </row>
    <row r="90" spans="1:7" x14ac:dyDescent="0.25">
      <c r="A90">
        <v>8</v>
      </c>
      <c r="B90" t="s">
        <v>120</v>
      </c>
      <c r="C90">
        <v>50</v>
      </c>
      <c r="D90" t="s">
        <v>107</v>
      </c>
      <c r="E90" t="s">
        <v>15</v>
      </c>
      <c r="F90">
        <v>22.097999999999999</v>
      </c>
      <c r="G90" t="s">
        <v>14</v>
      </c>
    </row>
    <row r="91" spans="1:7" x14ac:dyDescent="0.25">
      <c r="A91">
        <v>8</v>
      </c>
      <c r="B91" t="s">
        <v>120</v>
      </c>
      <c r="C91">
        <v>60</v>
      </c>
      <c r="D91" t="s">
        <v>18</v>
      </c>
      <c r="E91" t="s">
        <v>15</v>
      </c>
      <c r="F91">
        <v>135.90299999999999</v>
      </c>
      <c r="G91" t="s">
        <v>14</v>
      </c>
    </row>
    <row r="92" spans="1:7" x14ac:dyDescent="0.25">
      <c r="A92">
        <v>8</v>
      </c>
      <c r="B92" t="s">
        <v>120</v>
      </c>
      <c r="C92">
        <v>70</v>
      </c>
      <c r="D92" t="s">
        <v>113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120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120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120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120</v>
      </c>
      <c r="C96">
        <v>110</v>
      </c>
      <c r="D96" t="s">
        <v>111</v>
      </c>
      <c r="E96" t="s">
        <v>13</v>
      </c>
      <c r="F96">
        <v>1.0669999999999999</v>
      </c>
      <c r="G96" t="s">
        <v>14</v>
      </c>
    </row>
    <row r="97" spans="1:7" x14ac:dyDescent="0.25">
      <c r="A97">
        <v>8</v>
      </c>
      <c r="B97" t="s">
        <v>120</v>
      </c>
      <c r="C97">
        <v>120</v>
      </c>
      <c r="D97" t="s">
        <v>160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121</v>
      </c>
      <c r="C98">
        <v>10</v>
      </c>
      <c r="D98" t="s">
        <v>271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121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121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121</v>
      </c>
      <c r="C101">
        <v>40</v>
      </c>
      <c r="D101" t="s">
        <v>105</v>
      </c>
      <c r="E101" t="s">
        <v>106</v>
      </c>
      <c r="F101">
        <v>0.24</v>
      </c>
      <c r="G101" t="s">
        <v>14</v>
      </c>
    </row>
    <row r="102" spans="1:7" x14ac:dyDescent="0.25">
      <c r="A102">
        <v>9</v>
      </c>
      <c r="B102" t="s">
        <v>121</v>
      </c>
      <c r="C102">
        <v>50</v>
      </c>
      <c r="D102" t="s">
        <v>107</v>
      </c>
      <c r="E102" t="s">
        <v>15</v>
      </c>
      <c r="F102">
        <v>17.068999999999999</v>
      </c>
      <c r="G102" t="s">
        <v>14</v>
      </c>
    </row>
    <row r="103" spans="1:7" x14ac:dyDescent="0.25">
      <c r="A103">
        <v>9</v>
      </c>
      <c r="B103" t="s">
        <v>121</v>
      </c>
      <c r="C103">
        <v>60</v>
      </c>
      <c r="D103" t="s">
        <v>18</v>
      </c>
      <c r="E103" t="s">
        <v>15</v>
      </c>
      <c r="F103">
        <v>104.973</v>
      </c>
      <c r="G103" t="s">
        <v>14</v>
      </c>
    </row>
    <row r="104" spans="1:7" x14ac:dyDescent="0.25">
      <c r="A104">
        <v>9</v>
      </c>
      <c r="B104" t="s">
        <v>121</v>
      </c>
      <c r="C104">
        <v>70</v>
      </c>
      <c r="D104" t="s">
        <v>113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121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121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121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121</v>
      </c>
      <c r="C108">
        <v>110</v>
      </c>
      <c r="D108" t="s">
        <v>111</v>
      </c>
      <c r="E108" t="s">
        <v>13</v>
      </c>
      <c r="F108">
        <v>0.58099999999999996</v>
      </c>
      <c r="G108" t="s">
        <v>14</v>
      </c>
    </row>
    <row r="109" spans="1:7" x14ac:dyDescent="0.25">
      <c r="A109">
        <v>9</v>
      </c>
      <c r="B109" t="s">
        <v>121</v>
      </c>
      <c r="C109">
        <v>120</v>
      </c>
      <c r="D109" t="s">
        <v>161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122</v>
      </c>
      <c r="C110">
        <v>10</v>
      </c>
      <c r="D110" t="s">
        <v>272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122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122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122</v>
      </c>
      <c r="C113">
        <v>40</v>
      </c>
      <c r="D113" t="s">
        <v>105</v>
      </c>
      <c r="E113" t="s">
        <v>106</v>
      </c>
      <c r="F113">
        <v>0.28499999999999998</v>
      </c>
      <c r="G113" t="s">
        <v>14</v>
      </c>
    </row>
    <row r="114" spans="1:7" x14ac:dyDescent="0.25">
      <c r="A114">
        <v>10</v>
      </c>
      <c r="B114" t="s">
        <v>122</v>
      </c>
      <c r="C114">
        <v>50</v>
      </c>
      <c r="D114" t="s">
        <v>107</v>
      </c>
      <c r="E114" t="s">
        <v>15</v>
      </c>
      <c r="F114">
        <v>17.983000000000001</v>
      </c>
      <c r="G114" t="s">
        <v>14</v>
      </c>
    </row>
    <row r="115" spans="1:7" x14ac:dyDescent="0.25">
      <c r="A115">
        <v>10</v>
      </c>
      <c r="B115" t="s">
        <v>122</v>
      </c>
      <c r="C115">
        <v>60</v>
      </c>
      <c r="D115" t="s">
        <v>18</v>
      </c>
      <c r="E115" t="s">
        <v>15</v>
      </c>
      <c r="F115">
        <v>110.59699999999999</v>
      </c>
      <c r="G115" t="s">
        <v>14</v>
      </c>
    </row>
    <row r="116" spans="1:7" x14ac:dyDescent="0.25">
      <c r="A116">
        <v>10</v>
      </c>
      <c r="B116" t="s">
        <v>122</v>
      </c>
      <c r="C116">
        <v>70</v>
      </c>
      <c r="D116" t="s">
        <v>113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122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122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122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122</v>
      </c>
      <c r="C120">
        <v>110</v>
      </c>
      <c r="D120" t="s">
        <v>111</v>
      </c>
      <c r="E120" t="s">
        <v>13</v>
      </c>
      <c r="F120">
        <v>0.66200000000000003</v>
      </c>
      <c r="G120" t="s">
        <v>14</v>
      </c>
    </row>
    <row r="121" spans="1:7" x14ac:dyDescent="0.25">
      <c r="A121">
        <v>10</v>
      </c>
      <c r="B121" t="s">
        <v>122</v>
      </c>
      <c r="C121">
        <v>120</v>
      </c>
      <c r="D121" t="s">
        <v>162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123</v>
      </c>
      <c r="C122">
        <v>10</v>
      </c>
      <c r="D122" t="s">
        <v>273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123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123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123</v>
      </c>
      <c r="C125">
        <v>40</v>
      </c>
      <c r="D125" t="s">
        <v>105</v>
      </c>
      <c r="E125" t="s">
        <v>106</v>
      </c>
      <c r="F125">
        <v>0.33</v>
      </c>
      <c r="G125" t="s">
        <v>14</v>
      </c>
    </row>
    <row r="126" spans="1:7" x14ac:dyDescent="0.25">
      <c r="A126">
        <v>11</v>
      </c>
      <c r="B126" t="s">
        <v>123</v>
      </c>
      <c r="C126">
        <v>50</v>
      </c>
      <c r="D126" t="s">
        <v>107</v>
      </c>
      <c r="E126" t="s">
        <v>15</v>
      </c>
      <c r="F126">
        <v>18.898</v>
      </c>
      <c r="G126" t="s">
        <v>14</v>
      </c>
    </row>
    <row r="127" spans="1:7" x14ac:dyDescent="0.25">
      <c r="A127">
        <v>11</v>
      </c>
      <c r="B127" t="s">
        <v>123</v>
      </c>
      <c r="C127">
        <v>60</v>
      </c>
      <c r="D127" t="s">
        <v>18</v>
      </c>
      <c r="E127" t="s">
        <v>15</v>
      </c>
      <c r="F127">
        <v>116.22</v>
      </c>
      <c r="G127" t="s">
        <v>14</v>
      </c>
    </row>
    <row r="128" spans="1:7" x14ac:dyDescent="0.25">
      <c r="A128">
        <v>11</v>
      </c>
      <c r="B128" t="s">
        <v>123</v>
      </c>
      <c r="C128">
        <v>70</v>
      </c>
      <c r="D128" t="s">
        <v>113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123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123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123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123</v>
      </c>
      <c r="C132">
        <v>110</v>
      </c>
      <c r="D132" t="s">
        <v>111</v>
      </c>
      <c r="E132" t="s">
        <v>13</v>
      </c>
      <c r="F132">
        <v>0.74299999999999999</v>
      </c>
      <c r="G132" t="s">
        <v>14</v>
      </c>
    </row>
    <row r="133" spans="1:7" x14ac:dyDescent="0.25">
      <c r="A133">
        <v>11</v>
      </c>
      <c r="B133" t="s">
        <v>123</v>
      </c>
      <c r="C133">
        <v>120</v>
      </c>
      <c r="D133" t="s">
        <v>163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124</v>
      </c>
      <c r="C134">
        <v>10</v>
      </c>
      <c r="D134" t="s">
        <v>274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124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124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124</v>
      </c>
      <c r="C137">
        <v>40</v>
      </c>
      <c r="D137" t="s">
        <v>105</v>
      </c>
      <c r="E137" t="s">
        <v>106</v>
      </c>
      <c r="F137">
        <v>0.375</v>
      </c>
      <c r="G137" t="s">
        <v>14</v>
      </c>
    </row>
    <row r="138" spans="1:7" x14ac:dyDescent="0.25">
      <c r="A138">
        <v>12</v>
      </c>
      <c r="B138" t="s">
        <v>124</v>
      </c>
      <c r="C138">
        <v>50</v>
      </c>
      <c r="D138" t="s">
        <v>107</v>
      </c>
      <c r="E138" t="s">
        <v>15</v>
      </c>
      <c r="F138">
        <v>19.812000000000001</v>
      </c>
      <c r="G138" t="s">
        <v>14</v>
      </c>
    </row>
    <row r="139" spans="1:7" x14ac:dyDescent="0.25">
      <c r="A139">
        <v>12</v>
      </c>
      <c r="B139" t="s">
        <v>124</v>
      </c>
      <c r="C139">
        <v>60</v>
      </c>
      <c r="D139" t="s">
        <v>18</v>
      </c>
      <c r="E139" t="s">
        <v>15</v>
      </c>
      <c r="F139">
        <v>121.84399999999999</v>
      </c>
      <c r="G139" t="s">
        <v>14</v>
      </c>
    </row>
    <row r="140" spans="1:7" x14ac:dyDescent="0.25">
      <c r="A140">
        <v>12</v>
      </c>
      <c r="B140" t="s">
        <v>124</v>
      </c>
      <c r="C140">
        <v>70</v>
      </c>
      <c r="D140" t="s">
        <v>113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124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124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124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124</v>
      </c>
      <c r="C144">
        <v>110</v>
      </c>
      <c r="D144" t="s">
        <v>111</v>
      </c>
      <c r="E144" t="s">
        <v>13</v>
      </c>
      <c r="F144">
        <v>0.82399999999999995</v>
      </c>
      <c r="G144" t="s">
        <v>14</v>
      </c>
    </row>
    <row r="145" spans="1:7" x14ac:dyDescent="0.25">
      <c r="A145">
        <v>12</v>
      </c>
      <c r="B145" t="s">
        <v>124</v>
      </c>
      <c r="C145">
        <v>120</v>
      </c>
      <c r="D145" t="s">
        <v>164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125</v>
      </c>
      <c r="C146">
        <v>10</v>
      </c>
      <c r="D146" t="s">
        <v>275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125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125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125</v>
      </c>
      <c r="C149">
        <v>40</v>
      </c>
      <c r="D149" t="s">
        <v>105</v>
      </c>
      <c r="E149" t="s">
        <v>106</v>
      </c>
      <c r="F149">
        <v>0.39700000000000002</v>
      </c>
      <c r="G149" t="s">
        <v>14</v>
      </c>
    </row>
    <row r="150" spans="1:7" x14ac:dyDescent="0.25">
      <c r="A150">
        <v>13</v>
      </c>
      <c r="B150" t="s">
        <v>125</v>
      </c>
      <c r="C150">
        <v>50</v>
      </c>
      <c r="D150" t="s">
        <v>107</v>
      </c>
      <c r="E150" t="s">
        <v>15</v>
      </c>
      <c r="F150">
        <v>20.268999999999998</v>
      </c>
      <c r="G150" t="s">
        <v>14</v>
      </c>
    </row>
    <row r="151" spans="1:7" x14ac:dyDescent="0.25">
      <c r="A151">
        <v>13</v>
      </c>
      <c r="B151" t="s">
        <v>125</v>
      </c>
      <c r="C151">
        <v>60</v>
      </c>
      <c r="D151" t="s">
        <v>18</v>
      </c>
      <c r="E151" t="s">
        <v>15</v>
      </c>
      <c r="F151">
        <v>124.65600000000001</v>
      </c>
      <c r="G151" t="s">
        <v>14</v>
      </c>
    </row>
    <row r="152" spans="1:7" x14ac:dyDescent="0.25">
      <c r="A152">
        <v>13</v>
      </c>
      <c r="B152" t="s">
        <v>125</v>
      </c>
      <c r="C152">
        <v>70</v>
      </c>
      <c r="D152" t="s">
        <v>113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125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125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125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125</v>
      </c>
      <c r="C156">
        <v>110</v>
      </c>
      <c r="D156" t="s">
        <v>111</v>
      </c>
      <c r="E156" t="s">
        <v>13</v>
      </c>
      <c r="F156">
        <v>0.86499999999999999</v>
      </c>
      <c r="G156" t="s">
        <v>14</v>
      </c>
    </row>
    <row r="157" spans="1:7" x14ac:dyDescent="0.25">
      <c r="A157">
        <v>13</v>
      </c>
      <c r="B157" t="s">
        <v>125</v>
      </c>
      <c r="C157">
        <v>120</v>
      </c>
      <c r="D157" t="s">
        <v>165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126</v>
      </c>
      <c r="C158">
        <v>10</v>
      </c>
      <c r="D158" t="s">
        <v>276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126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126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126</v>
      </c>
      <c r="C161">
        <v>40</v>
      </c>
      <c r="D161" t="s">
        <v>105</v>
      </c>
      <c r="E161" t="s">
        <v>106</v>
      </c>
      <c r="F161">
        <v>0.42</v>
      </c>
      <c r="G161" t="s">
        <v>14</v>
      </c>
    </row>
    <row r="162" spans="1:7" x14ac:dyDescent="0.25">
      <c r="A162">
        <v>14</v>
      </c>
      <c r="B162" t="s">
        <v>126</v>
      </c>
      <c r="C162">
        <v>50</v>
      </c>
      <c r="D162" t="s">
        <v>107</v>
      </c>
      <c r="E162" t="s">
        <v>15</v>
      </c>
      <c r="F162">
        <v>20.725999999999999</v>
      </c>
      <c r="G162" t="s">
        <v>14</v>
      </c>
    </row>
    <row r="163" spans="1:7" x14ac:dyDescent="0.25">
      <c r="A163">
        <v>14</v>
      </c>
      <c r="B163" t="s">
        <v>126</v>
      </c>
      <c r="C163">
        <v>60</v>
      </c>
      <c r="D163" t="s">
        <v>18</v>
      </c>
      <c r="E163" t="s">
        <v>15</v>
      </c>
      <c r="F163">
        <v>127.467</v>
      </c>
      <c r="G163" t="s">
        <v>14</v>
      </c>
    </row>
    <row r="164" spans="1:7" x14ac:dyDescent="0.25">
      <c r="A164">
        <v>14</v>
      </c>
      <c r="B164" t="s">
        <v>126</v>
      </c>
      <c r="C164">
        <v>70</v>
      </c>
      <c r="D164" t="s">
        <v>113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126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126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126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126</v>
      </c>
      <c r="C168">
        <v>110</v>
      </c>
      <c r="D168" t="s">
        <v>111</v>
      </c>
      <c r="E168" t="s">
        <v>13</v>
      </c>
      <c r="F168">
        <v>0.90500000000000003</v>
      </c>
      <c r="G168" t="s">
        <v>14</v>
      </c>
    </row>
    <row r="169" spans="1:7" x14ac:dyDescent="0.25">
      <c r="A169">
        <v>14</v>
      </c>
      <c r="B169" t="s">
        <v>126</v>
      </c>
      <c r="C169">
        <v>120</v>
      </c>
      <c r="D169" t="s">
        <v>166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127</v>
      </c>
      <c r="C170">
        <v>10</v>
      </c>
      <c r="D170" t="s">
        <v>277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127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127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127</v>
      </c>
      <c r="C173">
        <v>40</v>
      </c>
      <c r="D173" t="s">
        <v>105</v>
      </c>
      <c r="E173" t="s">
        <v>106</v>
      </c>
      <c r="F173">
        <v>0.46500000000000002</v>
      </c>
      <c r="G173" t="s">
        <v>14</v>
      </c>
    </row>
    <row r="174" spans="1:7" x14ac:dyDescent="0.25">
      <c r="A174">
        <v>15</v>
      </c>
      <c r="B174" t="s">
        <v>127</v>
      </c>
      <c r="C174">
        <v>50</v>
      </c>
      <c r="D174" t="s">
        <v>107</v>
      </c>
      <c r="E174" t="s">
        <v>15</v>
      </c>
      <c r="F174">
        <v>21.640999999999998</v>
      </c>
      <c r="G174" t="s">
        <v>14</v>
      </c>
    </row>
    <row r="175" spans="1:7" x14ac:dyDescent="0.25">
      <c r="A175">
        <v>15</v>
      </c>
      <c r="B175" t="s">
        <v>127</v>
      </c>
      <c r="C175">
        <v>60</v>
      </c>
      <c r="D175" t="s">
        <v>18</v>
      </c>
      <c r="E175" t="s">
        <v>15</v>
      </c>
      <c r="F175">
        <v>133.09100000000001</v>
      </c>
      <c r="G175" t="s">
        <v>14</v>
      </c>
    </row>
    <row r="176" spans="1:7" x14ac:dyDescent="0.25">
      <c r="A176">
        <v>15</v>
      </c>
      <c r="B176" t="s">
        <v>127</v>
      </c>
      <c r="C176">
        <v>70</v>
      </c>
      <c r="D176" t="s">
        <v>113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127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127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127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127</v>
      </c>
      <c r="C180">
        <v>110</v>
      </c>
      <c r="D180" t="s">
        <v>111</v>
      </c>
      <c r="E180" t="s">
        <v>13</v>
      </c>
      <c r="F180">
        <v>0.98599999999999999</v>
      </c>
      <c r="G180" t="s">
        <v>14</v>
      </c>
    </row>
    <row r="181" spans="1:7" x14ac:dyDescent="0.25">
      <c r="A181">
        <v>15</v>
      </c>
      <c r="B181" t="s">
        <v>127</v>
      </c>
      <c r="C181">
        <v>120</v>
      </c>
      <c r="D181" t="s">
        <v>167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128</v>
      </c>
      <c r="C182">
        <v>10</v>
      </c>
      <c r="D182" t="s">
        <v>278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128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128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128</v>
      </c>
      <c r="C185">
        <v>40</v>
      </c>
      <c r="D185" t="s">
        <v>105</v>
      </c>
      <c r="E185" t="s">
        <v>106</v>
      </c>
      <c r="F185">
        <v>0.50900000000000001</v>
      </c>
      <c r="G185" t="s">
        <v>14</v>
      </c>
    </row>
    <row r="186" spans="1:7" x14ac:dyDescent="0.25">
      <c r="A186">
        <v>16</v>
      </c>
      <c r="B186" t="s">
        <v>128</v>
      </c>
      <c r="C186">
        <v>50</v>
      </c>
      <c r="D186" t="s">
        <v>107</v>
      </c>
      <c r="E186" t="s">
        <v>15</v>
      </c>
      <c r="F186">
        <v>22.555</v>
      </c>
      <c r="G186" t="s">
        <v>14</v>
      </c>
    </row>
    <row r="187" spans="1:7" x14ac:dyDescent="0.25">
      <c r="A187">
        <v>16</v>
      </c>
      <c r="B187" t="s">
        <v>128</v>
      </c>
      <c r="C187">
        <v>60</v>
      </c>
      <c r="D187" t="s">
        <v>18</v>
      </c>
      <c r="E187" t="s">
        <v>15</v>
      </c>
      <c r="F187">
        <v>138.714</v>
      </c>
      <c r="G187" t="s">
        <v>14</v>
      </c>
    </row>
    <row r="188" spans="1:7" x14ac:dyDescent="0.25">
      <c r="A188">
        <v>16</v>
      </c>
      <c r="B188" t="s">
        <v>128</v>
      </c>
      <c r="C188">
        <v>70</v>
      </c>
      <c r="D188" t="s">
        <v>113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128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128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128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128</v>
      </c>
      <c r="C192">
        <v>110</v>
      </c>
      <c r="D192" t="s">
        <v>111</v>
      </c>
      <c r="E192" t="s">
        <v>13</v>
      </c>
      <c r="F192">
        <v>1.0669999999999999</v>
      </c>
      <c r="G192" t="s">
        <v>14</v>
      </c>
    </row>
    <row r="193" spans="1:7" x14ac:dyDescent="0.25">
      <c r="A193">
        <v>16</v>
      </c>
      <c r="B193" t="s">
        <v>128</v>
      </c>
      <c r="C193">
        <v>120</v>
      </c>
      <c r="D193" t="s">
        <v>168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129</v>
      </c>
      <c r="C194">
        <v>10</v>
      </c>
      <c r="D194" t="s">
        <v>279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129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129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129</v>
      </c>
      <c r="C197">
        <v>40</v>
      </c>
      <c r="D197" t="s">
        <v>105</v>
      </c>
      <c r="E197" t="s">
        <v>106</v>
      </c>
      <c r="F197">
        <v>0.249</v>
      </c>
      <c r="G197" t="s">
        <v>14</v>
      </c>
    </row>
    <row r="198" spans="1:7" x14ac:dyDescent="0.25">
      <c r="A198">
        <v>17</v>
      </c>
      <c r="B198" t="s">
        <v>129</v>
      </c>
      <c r="C198">
        <v>50</v>
      </c>
      <c r="D198" t="s">
        <v>107</v>
      </c>
      <c r="E198" t="s">
        <v>15</v>
      </c>
      <c r="F198">
        <v>17.526</v>
      </c>
      <c r="G198" t="s">
        <v>14</v>
      </c>
    </row>
    <row r="199" spans="1:7" x14ac:dyDescent="0.25">
      <c r="A199">
        <v>17</v>
      </c>
      <c r="B199" t="s">
        <v>129</v>
      </c>
      <c r="C199">
        <v>60</v>
      </c>
      <c r="D199" t="s">
        <v>18</v>
      </c>
      <c r="E199" t="s">
        <v>15</v>
      </c>
      <c r="F199">
        <v>107.785</v>
      </c>
      <c r="G199" t="s">
        <v>14</v>
      </c>
    </row>
    <row r="200" spans="1:7" x14ac:dyDescent="0.25">
      <c r="A200">
        <v>17</v>
      </c>
      <c r="B200" t="s">
        <v>129</v>
      </c>
      <c r="C200">
        <v>70</v>
      </c>
      <c r="D200" t="s">
        <v>113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129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129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129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129</v>
      </c>
      <c r="C204">
        <v>110</v>
      </c>
      <c r="D204" t="s">
        <v>111</v>
      </c>
      <c r="E204" t="s">
        <v>13</v>
      </c>
      <c r="F204">
        <v>0.58099999999999996</v>
      </c>
      <c r="G204" t="s">
        <v>14</v>
      </c>
    </row>
    <row r="205" spans="1:7" x14ac:dyDescent="0.25">
      <c r="A205">
        <v>17</v>
      </c>
      <c r="B205" t="s">
        <v>129</v>
      </c>
      <c r="C205">
        <v>120</v>
      </c>
      <c r="D205" t="s">
        <v>169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130</v>
      </c>
      <c r="C206">
        <v>10</v>
      </c>
      <c r="D206" t="s">
        <v>280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130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130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130</v>
      </c>
      <c r="C209">
        <v>40</v>
      </c>
      <c r="D209" t="s">
        <v>105</v>
      </c>
      <c r="E209" t="s">
        <v>106</v>
      </c>
      <c r="F209">
        <v>0.29599999999999999</v>
      </c>
      <c r="G209" t="s">
        <v>14</v>
      </c>
    </row>
    <row r="210" spans="1:7" x14ac:dyDescent="0.25">
      <c r="A210">
        <v>18</v>
      </c>
      <c r="B210" t="s">
        <v>130</v>
      </c>
      <c r="C210">
        <v>50</v>
      </c>
      <c r="D210" t="s">
        <v>107</v>
      </c>
      <c r="E210" t="s">
        <v>15</v>
      </c>
      <c r="F210">
        <v>18.440000000000001</v>
      </c>
      <c r="G210" t="s">
        <v>14</v>
      </c>
    </row>
    <row r="211" spans="1:7" x14ac:dyDescent="0.25">
      <c r="A211">
        <v>18</v>
      </c>
      <c r="B211" t="s">
        <v>130</v>
      </c>
      <c r="C211">
        <v>60</v>
      </c>
      <c r="D211" t="s">
        <v>18</v>
      </c>
      <c r="E211" t="s">
        <v>15</v>
      </c>
      <c r="F211">
        <v>113.408</v>
      </c>
      <c r="G211" t="s">
        <v>14</v>
      </c>
    </row>
    <row r="212" spans="1:7" x14ac:dyDescent="0.25">
      <c r="A212">
        <v>18</v>
      </c>
      <c r="B212" t="s">
        <v>130</v>
      </c>
      <c r="C212">
        <v>70</v>
      </c>
      <c r="D212" t="s">
        <v>113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130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130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130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130</v>
      </c>
      <c r="C216">
        <v>110</v>
      </c>
      <c r="D216" t="s">
        <v>111</v>
      </c>
      <c r="E216" t="s">
        <v>13</v>
      </c>
      <c r="F216">
        <v>0.66200000000000003</v>
      </c>
      <c r="G216" t="s">
        <v>14</v>
      </c>
    </row>
    <row r="217" spans="1:7" x14ac:dyDescent="0.25">
      <c r="A217">
        <v>18</v>
      </c>
      <c r="B217" t="s">
        <v>130</v>
      </c>
      <c r="C217">
        <v>120</v>
      </c>
      <c r="D217" t="s">
        <v>170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131</v>
      </c>
      <c r="C218">
        <v>10</v>
      </c>
      <c r="D218" t="s">
        <v>281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131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131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131</v>
      </c>
      <c r="C221">
        <v>40</v>
      </c>
      <c r="D221" t="s">
        <v>105</v>
      </c>
      <c r="E221" t="s">
        <v>106</v>
      </c>
      <c r="F221">
        <v>0.34300000000000003</v>
      </c>
      <c r="G221" t="s">
        <v>14</v>
      </c>
    </row>
    <row r="222" spans="1:7" x14ac:dyDescent="0.25">
      <c r="A222">
        <v>19</v>
      </c>
      <c r="B222" t="s">
        <v>131</v>
      </c>
      <c r="C222">
        <v>50</v>
      </c>
      <c r="D222" t="s">
        <v>107</v>
      </c>
      <c r="E222" t="s">
        <v>15</v>
      </c>
      <c r="F222">
        <v>19.355</v>
      </c>
      <c r="G222" t="s">
        <v>14</v>
      </c>
    </row>
    <row r="223" spans="1:7" x14ac:dyDescent="0.25">
      <c r="A223">
        <v>19</v>
      </c>
      <c r="B223" t="s">
        <v>131</v>
      </c>
      <c r="C223">
        <v>60</v>
      </c>
      <c r="D223" t="s">
        <v>18</v>
      </c>
      <c r="E223" t="s">
        <v>15</v>
      </c>
      <c r="F223">
        <v>119.032</v>
      </c>
      <c r="G223" t="s">
        <v>14</v>
      </c>
    </row>
    <row r="224" spans="1:7" x14ac:dyDescent="0.25">
      <c r="A224">
        <v>19</v>
      </c>
      <c r="B224" t="s">
        <v>131</v>
      </c>
      <c r="C224">
        <v>70</v>
      </c>
      <c r="D224" t="s">
        <v>113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131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131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131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131</v>
      </c>
      <c r="C228">
        <v>110</v>
      </c>
      <c r="D228" t="s">
        <v>111</v>
      </c>
      <c r="E228" t="s">
        <v>13</v>
      </c>
      <c r="F228">
        <v>0.74299999999999999</v>
      </c>
      <c r="G228" t="s">
        <v>14</v>
      </c>
    </row>
    <row r="229" spans="1:7" x14ac:dyDescent="0.25">
      <c r="A229">
        <v>19</v>
      </c>
      <c r="B229" t="s">
        <v>131</v>
      </c>
      <c r="C229">
        <v>120</v>
      </c>
      <c r="D229" t="s">
        <v>171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132</v>
      </c>
      <c r="C230">
        <v>10</v>
      </c>
      <c r="D230" t="s">
        <v>282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132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132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132</v>
      </c>
      <c r="C233">
        <v>40</v>
      </c>
      <c r="D233" t="s">
        <v>105</v>
      </c>
      <c r="E233" t="s">
        <v>106</v>
      </c>
      <c r="F233">
        <v>0.39</v>
      </c>
      <c r="G233" t="s">
        <v>14</v>
      </c>
    </row>
    <row r="234" spans="1:7" x14ac:dyDescent="0.25">
      <c r="A234">
        <v>20</v>
      </c>
      <c r="B234" t="s">
        <v>132</v>
      </c>
      <c r="C234">
        <v>50</v>
      </c>
      <c r="D234" t="s">
        <v>107</v>
      </c>
      <c r="E234" t="s">
        <v>15</v>
      </c>
      <c r="F234">
        <v>20.268999999999998</v>
      </c>
      <c r="G234" t="s">
        <v>14</v>
      </c>
    </row>
    <row r="235" spans="1:7" x14ac:dyDescent="0.25">
      <c r="A235">
        <v>20</v>
      </c>
      <c r="B235" t="s">
        <v>132</v>
      </c>
      <c r="C235">
        <v>60</v>
      </c>
      <c r="D235" t="s">
        <v>18</v>
      </c>
      <c r="E235" t="s">
        <v>15</v>
      </c>
      <c r="F235">
        <v>124.65600000000001</v>
      </c>
      <c r="G235" t="s">
        <v>14</v>
      </c>
    </row>
    <row r="236" spans="1:7" x14ac:dyDescent="0.25">
      <c r="A236">
        <v>20</v>
      </c>
      <c r="B236" t="s">
        <v>132</v>
      </c>
      <c r="C236">
        <v>70</v>
      </c>
      <c r="D236" t="s">
        <v>113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132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132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132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132</v>
      </c>
      <c r="C240">
        <v>110</v>
      </c>
      <c r="D240" t="s">
        <v>111</v>
      </c>
      <c r="E240" t="s">
        <v>13</v>
      </c>
      <c r="F240">
        <v>0.82399999999999995</v>
      </c>
      <c r="G240" t="s">
        <v>14</v>
      </c>
    </row>
    <row r="241" spans="1:7" x14ac:dyDescent="0.25">
      <c r="A241">
        <v>20</v>
      </c>
      <c r="B241" t="s">
        <v>132</v>
      </c>
      <c r="C241">
        <v>120</v>
      </c>
      <c r="D241" t="s">
        <v>172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133</v>
      </c>
      <c r="C242">
        <v>10</v>
      </c>
      <c r="D242" t="s">
        <v>283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133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133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133</v>
      </c>
      <c r="C245">
        <v>40</v>
      </c>
      <c r="D245" t="s">
        <v>105</v>
      </c>
      <c r="E245" t="s">
        <v>106</v>
      </c>
      <c r="F245">
        <v>0.41299999999999998</v>
      </c>
      <c r="G245" t="s">
        <v>14</v>
      </c>
    </row>
    <row r="246" spans="1:7" x14ac:dyDescent="0.25">
      <c r="A246">
        <v>21</v>
      </c>
      <c r="B246" t="s">
        <v>133</v>
      </c>
      <c r="C246">
        <v>50</v>
      </c>
      <c r="D246" t="s">
        <v>107</v>
      </c>
      <c r="E246" t="s">
        <v>15</v>
      </c>
      <c r="F246">
        <v>20.725999999999999</v>
      </c>
      <c r="G246" t="s">
        <v>14</v>
      </c>
    </row>
    <row r="247" spans="1:7" x14ac:dyDescent="0.25">
      <c r="A247">
        <v>21</v>
      </c>
      <c r="B247" t="s">
        <v>133</v>
      </c>
      <c r="C247">
        <v>60</v>
      </c>
      <c r="D247" t="s">
        <v>18</v>
      </c>
      <c r="E247" t="s">
        <v>15</v>
      </c>
      <c r="F247">
        <v>127.467</v>
      </c>
      <c r="G247" t="s">
        <v>14</v>
      </c>
    </row>
    <row r="248" spans="1:7" x14ac:dyDescent="0.25">
      <c r="A248">
        <v>21</v>
      </c>
      <c r="B248" t="s">
        <v>133</v>
      </c>
      <c r="C248">
        <v>70</v>
      </c>
      <c r="D248" t="s">
        <v>113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133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133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133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133</v>
      </c>
      <c r="C252">
        <v>110</v>
      </c>
      <c r="D252" t="s">
        <v>111</v>
      </c>
      <c r="E252" t="s">
        <v>13</v>
      </c>
      <c r="F252">
        <v>0.86499999999999999</v>
      </c>
      <c r="G252" t="s">
        <v>14</v>
      </c>
    </row>
    <row r="253" spans="1:7" x14ac:dyDescent="0.25">
      <c r="A253">
        <v>21</v>
      </c>
      <c r="B253" t="s">
        <v>133</v>
      </c>
      <c r="C253">
        <v>120</v>
      </c>
      <c r="D253" t="s">
        <v>173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134</v>
      </c>
      <c r="C254">
        <v>10</v>
      </c>
      <c r="D254" t="s">
        <v>284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134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134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134</v>
      </c>
      <c r="C257">
        <v>40</v>
      </c>
      <c r="D257" t="s">
        <v>105</v>
      </c>
      <c r="E257" t="s">
        <v>106</v>
      </c>
      <c r="F257">
        <v>0.437</v>
      </c>
      <c r="G257" t="s">
        <v>14</v>
      </c>
    </row>
    <row r="258" spans="1:7" x14ac:dyDescent="0.25">
      <c r="A258">
        <v>22</v>
      </c>
      <c r="B258" t="s">
        <v>134</v>
      </c>
      <c r="C258">
        <v>50</v>
      </c>
      <c r="D258" t="s">
        <v>107</v>
      </c>
      <c r="E258" t="s">
        <v>15</v>
      </c>
      <c r="F258">
        <v>21.184000000000001</v>
      </c>
      <c r="G258" t="s">
        <v>14</v>
      </c>
    </row>
    <row r="259" spans="1:7" x14ac:dyDescent="0.25">
      <c r="A259">
        <v>22</v>
      </c>
      <c r="B259" t="s">
        <v>134</v>
      </c>
      <c r="C259">
        <v>60</v>
      </c>
      <c r="D259" t="s">
        <v>18</v>
      </c>
      <c r="E259" t="s">
        <v>15</v>
      </c>
      <c r="F259">
        <v>130.279</v>
      </c>
      <c r="G259" t="s">
        <v>14</v>
      </c>
    </row>
    <row r="260" spans="1:7" x14ac:dyDescent="0.25">
      <c r="A260">
        <v>22</v>
      </c>
      <c r="B260" t="s">
        <v>134</v>
      </c>
      <c r="C260">
        <v>70</v>
      </c>
      <c r="D260" t="s">
        <v>113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134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134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134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134</v>
      </c>
      <c r="C264">
        <v>110</v>
      </c>
      <c r="D264" t="s">
        <v>111</v>
      </c>
      <c r="E264" t="s">
        <v>13</v>
      </c>
      <c r="F264">
        <v>0.90500000000000003</v>
      </c>
      <c r="G264" t="s">
        <v>14</v>
      </c>
    </row>
    <row r="265" spans="1:7" x14ac:dyDescent="0.25">
      <c r="A265">
        <v>22</v>
      </c>
      <c r="B265" t="s">
        <v>134</v>
      </c>
      <c r="C265">
        <v>120</v>
      </c>
      <c r="D265" t="s">
        <v>174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135</v>
      </c>
      <c r="C266">
        <v>10</v>
      </c>
      <c r="D266" t="s">
        <v>285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135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135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135</v>
      </c>
      <c r="C269">
        <v>40</v>
      </c>
      <c r="D269" t="s">
        <v>105</v>
      </c>
      <c r="E269" t="s">
        <v>106</v>
      </c>
      <c r="F269">
        <v>0.48299999999999998</v>
      </c>
      <c r="G269" t="s">
        <v>14</v>
      </c>
    </row>
    <row r="270" spans="1:7" x14ac:dyDescent="0.25">
      <c r="A270">
        <v>23</v>
      </c>
      <c r="B270" t="s">
        <v>135</v>
      </c>
      <c r="C270">
        <v>50</v>
      </c>
      <c r="D270" t="s">
        <v>107</v>
      </c>
      <c r="E270" t="s">
        <v>15</v>
      </c>
      <c r="F270">
        <v>22.097999999999999</v>
      </c>
      <c r="G270" t="s">
        <v>14</v>
      </c>
    </row>
    <row r="271" spans="1:7" x14ac:dyDescent="0.25">
      <c r="A271">
        <v>23</v>
      </c>
      <c r="B271" t="s">
        <v>135</v>
      </c>
      <c r="C271">
        <v>60</v>
      </c>
      <c r="D271" t="s">
        <v>18</v>
      </c>
      <c r="E271" t="s">
        <v>15</v>
      </c>
      <c r="F271">
        <v>135.90299999999999</v>
      </c>
      <c r="G271" t="s">
        <v>14</v>
      </c>
    </row>
    <row r="272" spans="1:7" x14ac:dyDescent="0.25">
      <c r="A272">
        <v>23</v>
      </c>
      <c r="B272" t="s">
        <v>135</v>
      </c>
      <c r="C272">
        <v>70</v>
      </c>
      <c r="D272" t="s">
        <v>113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135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135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135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135</v>
      </c>
      <c r="C276">
        <v>110</v>
      </c>
      <c r="D276" t="s">
        <v>111</v>
      </c>
      <c r="E276" t="s">
        <v>13</v>
      </c>
      <c r="F276">
        <v>0.98599999999999999</v>
      </c>
      <c r="G276" t="s">
        <v>14</v>
      </c>
    </row>
    <row r="277" spans="1:7" x14ac:dyDescent="0.25">
      <c r="A277">
        <v>23</v>
      </c>
      <c r="B277" t="s">
        <v>135</v>
      </c>
      <c r="C277">
        <v>120</v>
      </c>
      <c r="D277" t="s">
        <v>175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136</v>
      </c>
      <c r="C278">
        <v>10</v>
      </c>
      <c r="D278" t="s">
        <v>286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136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136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136</v>
      </c>
      <c r="C281">
        <v>40</v>
      </c>
      <c r="D281" t="s">
        <v>105</v>
      </c>
      <c r="E281" t="s">
        <v>106</v>
      </c>
      <c r="F281">
        <v>0.53</v>
      </c>
      <c r="G281" t="s">
        <v>14</v>
      </c>
    </row>
    <row r="282" spans="1:7" x14ac:dyDescent="0.25">
      <c r="A282">
        <v>24</v>
      </c>
      <c r="B282" t="s">
        <v>136</v>
      </c>
      <c r="C282">
        <v>50</v>
      </c>
      <c r="D282" t="s">
        <v>107</v>
      </c>
      <c r="E282" t="s">
        <v>15</v>
      </c>
      <c r="F282">
        <v>23.012</v>
      </c>
      <c r="G282" t="s">
        <v>14</v>
      </c>
    </row>
    <row r="283" spans="1:7" x14ac:dyDescent="0.25">
      <c r="A283">
        <v>24</v>
      </c>
      <c r="B283" t="s">
        <v>136</v>
      </c>
      <c r="C283">
        <v>60</v>
      </c>
      <c r="D283" t="s">
        <v>18</v>
      </c>
      <c r="E283" t="s">
        <v>15</v>
      </c>
      <c r="F283">
        <v>141.52600000000001</v>
      </c>
      <c r="G283" t="s">
        <v>14</v>
      </c>
    </row>
    <row r="284" spans="1:7" x14ac:dyDescent="0.25">
      <c r="A284">
        <v>24</v>
      </c>
      <c r="B284" t="s">
        <v>136</v>
      </c>
      <c r="C284">
        <v>70</v>
      </c>
      <c r="D284" t="s">
        <v>113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136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136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136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136</v>
      </c>
      <c r="C288">
        <v>110</v>
      </c>
      <c r="D288" t="s">
        <v>111</v>
      </c>
      <c r="E288" t="s">
        <v>13</v>
      </c>
      <c r="F288">
        <v>1.0669999999999999</v>
      </c>
      <c r="G288" t="s">
        <v>14</v>
      </c>
    </row>
    <row r="289" spans="1:7" x14ac:dyDescent="0.25">
      <c r="A289">
        <v>24</v>
      </c>
      <c r="B289" t="s">
        <v>136</v>
      </c>
      <c r="C289">
        <v>120</v>
      </c>
      <c r="D289" t="s">
        <v>176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137</v>
      </c>
      <c r="C290">
        <v>10</v>
      </c>
      <c r="D290" t="s">
        <v>287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137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137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137</v>
      </c>
      <c r="C293">
        <v>40</v>
      </c>
      <c r="D293" t="s">
        <v>105</v>
      </c>
      <c r="E293" t="s">
        <v>106</v>
      </c>
      <c r="F293">
        <v>0.25600000000000001</v>
      </c>
      <c r="G293" t="s">
        <v>14</v>
      </c>
    </row>
    <row r="294" spans="1:7" x14ac:dyDescent="0.25">
      <c r="A294">
        <v>25</v>
      </c>
      <c r="B294" t="s">
        <v>137</v>
      </c>
      <c r="C294">
        <v>50</v>
      </c>
      <c r="D294" t="s">
        <v>107</v>
      </c>
      <c r="E294" t="s">
        <v>15</v>
      </c>
      <c r="F294">
        <v>17.831</v>
      </c>
      <c r="G294" t="s">
        <v>14</v>
      </c>
    </row>
    <row r="295" spans="1:7" x14ac:dyDescent="0.25">
      <c r="A295">
        <v>25</v>
      </c>
      <c r="B295" t="s">
        <v>137</v>
      </c>
      <c r="C295">
        <v>60</v>
      </c>
      <c r="D295" t="s">
        <v>18</v>
      </c>
      <c r="E295" t="s">
        <v>15</v>
      </c>
      <c r="F295">
        <v>109.65900000000001</v>
      </c>
      <c r="G295" t="s">
        <v>14</v>
      </c>
    </row>
    <row r="296" spans="1:7" x14ac:dyDescent="0.25">
      <c r="A296">
        <v>25</v>
      </c>
      <c r="B296" t="s">
        <v>137</v>
      </c>
      <c r="C296">
        <v>70</v>
      </c>
      <c r="D296" t="s">
        <v>113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137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137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137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137</v>
      </c>
      <c r="C300">
        <v>110</v>
      </c>
      <c r="D300" t="s">
        <v>111</v>
      </c>
      <c r="E300" t="s">
        <v>13</v>
      </c>
      <c r="F300">
        <v>1.216</v>
      </c>
      <c r="G300" t="s">
        <v>14</v>
      </c>
    </row>
    <row r="301" spans="1:7" x14ac:dyDescent="0.25">
      <c r="A301">
        <v>25</v>
      </c>
      <c r="B301" t="s">
        <v>137</v>
      </c>
      <c r="C301">
        <v>120</v>
      </c>
      <c r="D301" t="s">
        <v>177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138</v>
      </c>
      <c r="C302">
        <v>10</v>
      </c>
      <c r="D302" t="s">
        <v>288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138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138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138</v>
      </c>
      <c r="C305">
        <v>40</v>
      </c>
      <c r="D305" t="s">
        <v>105</v>
      </c>
      <c r="E305" t="s">
        <v>106</v>
      </c>
      <c r="F305">
        <v>0.30399999999999999</v>
      </c>
      <c r="G305" t="s">
        <v>14</v>
      </c>
    </row>
    <row r="306" spans="1:7" x14ac:dyDescent="0.25">
      <c r="A306">
        <v>26</v>
      </c>
      <c r="B306" t="s">
        <v>138</v>
      </c>
      <c r="C306">
        <v>50</v>
      </c>
      <c r="D306" t="s">
        <v>107</v>
      </c>
      <c r="E306" t="s">
        <v>15</v>
      </c>
      <c r="F306">
        <v>18.745000000000001</v>
      </c>
      <c r="G306" t="s">
        <v>14</v>
      </c>
    </row>
    <row r="307" spans="1:7" x14ac:dyDescent="0.25">
      <c r="A307">
        <v>26</v>
      </c>
      <c r="B307" t="s">
        <v>138</v>
      </c>
      <c r="C307">
        <v>60</v>
      </c>
      <c r="D307" t="s">
        <v>18</v>
      </c>
      <c r="E307" t="s">
        <v>15</v>
      </c>
      <c r="F307">
        <v>115.283</v>
      </c>
      <c r="G307" t="s">
        <v>14</v>
      </c>
    </row>
    <row r="308" spans="1:7" x14ac:dyDescent="0.25">
      <c r="A308">
        <v>26</v>
      </c>
      <c r="B308" t="s">
        <v>138</v>
      </c>
      <c r="C308">
        <v>70</v>
      </c>
      <c r="D308" t="s">
        <v>113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138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138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138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138</v>
      </c>
      <c r="C312">
        <v>110</v>
      </c>
      <c r="D312" t="s">
        <v>111</v>
      </c>
      <c r="E312" t="s">
        <v>13</v>
      </c>
      <c r="F312">
        <v>1.216</v>
      </c>
      <c r="G312" t="s">
        <v>14</v>
      </c>
    </row>
    <row r="313" spans="1:7" x14ac:dyDescent="0.25">
      <c r="A313">
        <v>26</v>
      </c>
      <c r="B313" t="s">
        <v>138</v>
      </c>
      <c r="C313">
        <v>120</v>
      </c>
      <c r="D313" t="s">
        <v>178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139</v>
      </c>
      <c r="C314">
        <v>10</v>
      </c>
      <c r="D314" t="s">
        <v>289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139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139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139</v>
      </c>
      <c r="C317">
        <v>40</v>
      </c>
      <c r="D317" t="s">
        <v>105</v>
      </c>
      <c r="E317" t="s">
        <v>106</v>
      </c>
      <c r="F317">
        <v>0.35199999999999998</v>
      </c>
      <c r="G317" t="s">
        <v>14</v>
      </c>
    </row>
    <row r="318" spans="1:7" x14ac:dyDescent="0.25">
      <c r="A318">
        <v>27</v>
      </c>
      <c r="B318" t="s">
        <v>139</v>
      </c>
      <c r="C318">
        <v>50</v>
      </c>
      <c r="D318" t="s">
        <v>107</v>
      </c>
      <c r="E318" t="s">
        <v>15</v>
      </c>
      <c r="F318">
        <v>19.66</v>
      </c>
      <c r="G318" t="s">
        <v>14</v>
      </c>
    </row>
    <row r="319" spans="1:7" x14ac:dyDescent="0.25">
      <c r="A319">
        <v>27</v>
      </c>
      <c r="B319" t="s">
        <v>139</v>
      </c>
      <c r="C319">
        <v>60</v>
      </c>
      <c r="D319" t="s">
        <v>18</v>
      </c>
      <c r="E319" t="s">
        <v>15</v>
      </c>
      <c r="F319">
        <v>120.907</v>
      </c>
      <c r="G319" t="s">
        <v>14</v>
      </c>
    </row>
    <row r="320" spans="1:7" x14ac:dyDescent="0.25">
      <c r="A320">
        <v>27</v>
      </c>
      <c r="B320" t="s">
        <v>139</v>
      </c>
      <c r="C320">
        <v>70</v>
      </c>
      <c r="D320" t="s">
        <v>113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139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139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139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139</v>
      </c>
      <c r="C324">
        <v>110</v>
      </c>
      <c r="D324" t="s">
        <v>111</v>
      </c>
      <c r="E324" t="s">
        <v>13</v>
      </c>
      <c r="F324">
        <v>1.216</v>
      </c>
      <c r="G324" t="s">
        <v>14</v>
      </c>
    </row>
    <row r="325" spans="1:7" x14ac:dyDescent="0.25">
      <c r="A325">
        <v>27</v>
      </c>
      <c r="B325" t="s">
        <v>139</v>
      </c>
      <c r="C325">
        <v>120</v>
      </c>
      <c r="D325" t="s">
        <v>179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140</v>
      </c>
      <c r="C326">
        <v>10</v>
      </c>
      <c r="D326" t="s">
        <v>290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140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140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140</v>
      </c>
      <c r="C329">
        <v>40</v>
      </c>
      <c r="D329" t="s">
        <v>105</v>
      </c>
      <c r="E329" t="s">
        <v>106</v>
      </c>
      <c r="F329">
        <v>0.4</v>
      </c>
      <c r="G329" t="s">
        <v>14</v>
      </c>
    </row>
    <row r="330" spans="1:7" x14ac:dyDescent="0.25">
      <c r="A330">
        <v>28</v>
      </c>
      <c r="B330" t="s">
        <v>140</v>
      </c>
      <c r="C330">
        <v>50</v>
      </c>
      <c r="D330" t="s">
        <v>107</v>
      </c>
      <c r="E330" t="s">
        <v>15</v>
      </c>
      <c r="F330">
        <v>20.574000000000002</v>
      </c>
      <c r="G330" t="s">
        <v>14</v>
      </c>
    </row>
    <row r="331" spans="1:7" x14ac:dyDescent="0.25">
      <c r="A331">
        <v>28</v>
      </c>
      <c r="B331" t="s">
        <v>140</v>
      </c>
      <c r="C331">
        <v>60</v>
      </c>
      <c r="D331" t="s">
        <v>18</v>
      </c>
      <c r="E331" t="s">
        <v>15</v>
      </c>
      <c r="F331">
        <v>126.53</v>
      </c>
      <c r="G331" t="s">
        <v>14</v>
      </c>
    </row>
    <row r="332" spans="1:7" x14ac:dyDescent="0.25">
      <c r="A332">
        <v>28</v>
      </c>
      <c r="B332" t="s">
        <v>140</v>
      </c>
      <c r="C332">
        <v>70</v>
      </c>
      <c r="D332" t="s">
        <v>113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140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140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140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140</v>
      </c>
      <c r="C336">
        <v>110</v>
      </c>
      <c r="D336" t="s">
        <v>111</v>
      </c>
      <c r="E336" t="s">
        <v>13</v>
      </c>
      <c r="F336">
        <v>1.216</v>
      </c>
      <c r="G336" t="s">
        <v>14</v>
      </c>
    </row>
    <row r="337" spans="1:7" x14ac:dyDescent="0.25">
      <c r="A337">
        <v>28</v>
      </c>
      <c r="B337" t="s">
        <v>140</v>
      </c>
      <c r="C337">
        <v>120</v>
      </c>
      <c r="D337" t="s">
        <v>180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141</v>
      </c>
      <c r="C338">
        <v>10</v>
      </c>
      <c r="D338" t="s">
        <v>291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141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141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141</v>
      </c>
      <c r="C341">
        <v>40</v>
      </c>
      <c r="D341" t="s">
        <v>105</v>
      </c>
      <c r="E341" t="s">
        <v>106</v>
      </c>
      <c r="F341">
        <v>0.42399999999999999</v>
      </c>
      <c r="G341" t="s">
        <v>14</v>
      </c>
    </row>
    <row r="342" spans="1:7" x14ac:dyDescent="0.25">
      <c r="A342">
        <v>29</v>
      </c>
      <c r="B342" t="s">
        <v>141</v>
      </c>
      <c r="C342">
        <v>50</v>
      </c>
      <c r="D342" t="s">
        <v>107</v>
      </c>
      <c r="E342" t="s">
        <v>15</v>
      </c>
      <c r="F342">
        <v>21.030999999999999</v>
      </c>
      <c r="G342" t="s">
        <v>14</v>
      </c>
    </row>
    <row r="343" spans="1:7" x14ac:dyDescent="0.25">
      <c r="A343">
        <v>29</v>
      </c>
      <c r="B343" t="s">
        <v>141</v>
      </c>
      <c r="C343">
        <v>60</v>
      </c>
      <c r="D343" t="s">
        <v>18</v>
      </c>
      <c r="E343" t="s">
        <v>15</v>
      </c>
      <c r="F343">
        <v>129.34200000000001</v>
      </c>
      <c r="G343" t="s">
        <v>14</v>
      </c>
    </row>
    <row r="344" spans="1:7" x14ac:dyDescent="0.25">
      <c r="A344">
        <v>29</v>
      </c>
      <c r="B344" t="s">
        <v>141</v>
      </c>
      <c r="C344">
        <v>70</v>
      </c>
      <c r="D344" t="s">
        <v>113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141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141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141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141</v>
      </c>
      <c r="C348">
        <v>110</v>
      </c>
      <c r="D348" t="s">
        <v>111</v>
      </c>
      <c r="E348" t="s">
        <v>13</v>
      </c>
      <c r="F348">
        <v>1.216</v>
      </c>
      <c r="G348" t="s">
        <v>14</v>
      </c>
    </row>
    <row r="349" spans="1:7" x14ac:dyDescent="0.25">
      <c r="A349">
        <v>29</v>
      </c>
      <c r="B349" t="s">
        <v>141</v>
      </c>
      <c r="C349">
        <v>120</v>
      </c>
      <c r="D349" t="s">
        <v>181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142</v>
      </c>
      <c r="C350">
        <v>10</v>
      </c>
      <c r="D350" t="s">
        <v>292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142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142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142</v>
      </c>
      <c r="C353">
        <v>40</v>
      </c>
      <c r="D353" t="s">
        <v>105</v>
      </c>
      <c r="E353" t="s">
        <v>106</v>
      </c>
      <c r="F353">
        <v>0.44800000000000001</v>
      </c>
      <c r="G353" t="s">
        <v>14</v>
      </c>
    </row>
    <row r="354" spans="1:7" x14ac:dyDescent="0.25">
      <c r="A354">
        <v>30</v>
      </c>
      <c r="B354" t="s">
        <v>142</v>
      </c>
      <c r="C354">
        <v>50</v>
      </c>
      <c r="D354" t="s">
        <v>107</v>
      </c>
      <c r="E354" t="s">
        <v>15</v>
      </c>
      <c r="F354">
        <v>21.488</v>
      </c>
      <c r="G354" t="s">
        <v>14</v>
      </c>
    </row>
    <row r="355" spans="1:7" x14ac:dyDescent="0.25">
      <c r="A355">
        <v>30</v>
      </c>
      <c r="B355" t="s">
        <v>142</v>
      </c>
      <c r="C355">
        <v>60</v>
      </c>
      <c r="D355" t="s">
        <v>18</v>
      </c>
      <c r="E355" t="s">
        <v>15</v>
      </c>
      <c r="F355">
        <v>132.154</v>
      </c>
      <c r="G355" t="s">
        <v>14</v>
      </c>
    </row>
    <row r="356" spans="1:7" x14ac:dyDescent="0.25">
      <c r="A356">
        <v>30</v>
      </c>
      <c r="B356" t="s">
        <v>142</v>
      </c>
      <c r="C356">
        <v>70</v>
      </c>
      <c r="D356" t="s">
        <v>113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142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142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142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142</v>
      </c>
      <c r="C360">
        <v>110</v>
      </c>
      <c r="D360" t="s">
        <v>111</v>
      </c>
      <c r="E360" t="s">
        <v>13</v>
      </c>
      <c r="F360">
        <v>1.216</v>
      </c>
      <c r="G360" t="s">
        <v>14</v>
      </c>
    </row>
    <row r="361" spans="1:7" x14ac:dyDescent="0.25">
      <c r="A361">
        <v>30</v>
      </c>
      <c r="B361" t="s">
        <v>142</v>
      </c>
      <c r="C361">
        <v>120</v>
      </c>
      <c r="D361" t="s">
        <v>182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143</v>
      </c>
      <c r="C362">
        <v>10</v>
      </c>
      <c r="D362" t="s">
        <v>293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143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143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143</v>
      </c>
      <c r="C365">
        <v>40</v>
      </c>
      <c r="D365" t="s">
        <v>105</v>
      </c>
      <c r="E365" t="s">
        <v>106</v>
      </c>
      <c r="F365">
        <v>0.496</v>
      </c>
      <c r="G365" t="s">
        <v>14</v>
      </c>
    </row>
    <row r="366" spans="1:7" x14ac:dyDescent="0.25">
      <c r="A366">
        <v>31</v>
      </c>
      <c r="B366" t="s">
        <v>143</v>
      </c>
      <c r="C366">
        <v>50</v>
      </c>
      <c r="D366" t="s">
        <v>107</v>
      </c>
      <c r="E366" t="s">
        <v>15</v>
      </c>
      <c r="F366">
        <v>22.402999999999999</v>
      </c>
      <c r="G366" t="s">
        <v>14</v>
      </c>
    </row>
    <row r="367" spans="1:7" x14ac:dyDescent="0.25">
      <c r="A367">
        <v>31</v>
      </c>
      <c r="B367" t="s">
        <v>143</v>
      </c>
      <c r="C367">
        <v>60</v>
      </c>
      <c r="D367" t="s">
        <v>18</v>
      </c>
      <c r="E367" t="s">
        <v>15</v>
      </c>
      <c r="F367">
        <v>137.77699999999999</v>
      </c>
      <c r="G367" t="s">
        <v>14</v>
      </c>
    </row>
    <row r="368" spans="1:7" x14ac:dyDescent="0.25">
      <c r="A368">
        <v>31</v>
      </c>
      <c r="B368" t="s">
        <v>143</v>
      </c>
      <c r="C368">
        <v>70</v>
      </c>
      <c r="D368" t="s">
        <v>113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143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143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143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143</v>
      </c>
      <c r="C372">
        <v>110</v>
      </c>
      <c r="D372" t="s">
        <v>111</v>
      </c>
      <c r="E372" t="s">
        <v>13</v>
      </c>
      <c r="F372">
        <v>1.216</v>
      </c>
      <c r="G372" t="s">
        <v>14</v>
      </c>
    </row>
    <row r="373" spans="1:7" x14ac:dyDescent="0.25">
      <c r="A373">
        <v>31</v>
      </c>
      <c r="B373" t="s">
        <v>143</v>
      </c>
      <c r="C373">
        <v>120</v>
      </c>
      <c r="D373" t="s">
        <v>183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144</v>
      </c>
      <c r="C374">
        <v>10</v>
      </c>
      <c r="D374" t="s">
        <v>294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144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144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144</v>
      </c>
      <c r="C377">
        <v>40</v>
      </c>
      <c r="D377" t="s">
        <v>105</v>
      </c>
      <c r="E377" t="s">
        <v>106</v>
      </c>
      <c r="F377">
        <v>0.54400000000000004</v>
      </c>
      <c r="G377" t="s">
        <v>14</v>
      </c>
    </row>
    <row r="378" spans="1:7" x14ac:dyDescent="0.25">
      <c r="A378">
        <v>32</v>
      </c>
      <c r="B378" t="s">
        <v>144</v>
      </c>
      <c r="C378">
        <v>50</v>
      </c>
      <c r="D378" t="s">
        <v>107</v>
      </c>
      <c r="E378" t="s">
        <v>15</v>
      </c>
      <c r="F378">
        <v>23.317</v>
      </c>
      <c r="G378" t="s">
        <v>14</v>
      </c>
    </row>
    <row r="379" spans="1:7" x14ac:dyDescent="0.25">
      <c r="A379">
        <v>32</v>
      </c>
      <c r="B379" t="s">
        <v>144</v>
      </c>
      <c r="C379">
        <v>60</v>
      </c>
      <c r="D379" t="s">
        <v>18</v>
      </c>
      <c r="E379" t="s">
        <v>15</v>
      </c>
      <c r="F379">
        <v>143.40100000000001</v>
      </c>
      <c r="G379" t="s">
        <v>14</v>
      </c>
    </row>
    <row r="380" spans="1:7" x14ac:dyDescent="0.25">
      <c r="A380">
        <v>32</v>
      </c>
      <c r="B380" t="s">
        <v>144</v>
      </c>
      <c r="C380">
        <v>70</v>
      </c>
      <c r="D380" t="s">
        <v>113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144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144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144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144</v>
      </c>
      <c r="C384">
        <v>110</v>
      </c>
      <c r="D384" t="s">
        <v>111</v>
      </c>
      <c r="E384" t="s">
        <v>13</v>
      </c>
      <c r="F384">
        <v>1.216</v>
      </c>
      <c r="G384" t="s">
        <v>14</v>
      </c>
    </row>
    <row r="385" spans="1:7" x14ac:dyDescent="0.25">
      <c r="A385">
        <v>32</v>
      </c>
      <c r="B385" t="s">
        <v>144</v>
      </c>
      <c r="C385">
        <v>120</v>
      </c>
      <c r="D385" t="s">
        <v>184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145</v>
      </c>
      <c r="C386">
        <v>10</v>
      </c>
      <c r="D386" t="s">
        <v>295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145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145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145</v>
      </c>
      <c r="C389">
        <v>40</v>
      </c>
      <c r="D389" t="s">
        <v>105</v>
      </c>
      <c r="E389" t="s">
        <v>106</v>
      </c>
      <c r="F389">
        <v>0.26900000000000002</v>
      </c>
      <c r="G389" t="s">
        <v>14</v>
      </c>
    </row>
    <row r="390" spans="1:7" x14ac:dyDescent="0.25">
      <c r="A390">
        <v>33</v>
      </c>
      <c r="B390" t="s">
        <v>145</v>
      </c>
      <c r="C390">
        <v>50</v>
      </c>
      <c r="D390" t="s">
        <v>107</v>
      </c>
      <c r="E390" t="s">
        <v>15</v>
      </c>
      <c r="F390">
        <v>18.440000000000001</v>
      </c>
      <c r="G390" t="s">
        <v>14</v>
      </c>
    </row>
    <row r="391" spans="1:7" x14ac:dyDescent="0.25">
      <c r="A391">
        <v>33</v>
      </c>
      <c r="B391" t="s">
        <v>145</v>
      </c>
      <c r="C391">
        <v>60</v>
      </c>
      <c r="D391" t="s">
        <v>18</v>
      </c>
      <c r="E391" t="s">
        <v>15</v>
      </c>
      <c r="F391">
        <v>113.408</v>
      </c>
      <c r="G391" t="s">
        <v>14</v>
      </c>
    </row>
    <row r="392" spans="1:7" x14ac:dyDescent="0.25">
      <c r="A392">
        <v>33</v>
      </c>
      <c r="B392" t="s">
        <v>145</v>
      </c>
      <c r="C392">
        <v>70</v>
      </c>
      <c r="D392" t="s">
        <v>113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145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145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145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145</v>
      </c>
      <c r="C396">
        <v>110</v>
      </c>
      <c r="D396" t="s">
        <v>111</v>
      </c>
      <c r="E396" t="s">
        <v>13</v>
      </c>
      <c r="F396">
        <v>1.27</v>
      </c>
      <c r="G396" t="s">
        <v>14</v>
      </c>
    </row>
    <row r="397" spans="1:7" x14ac:dyDescent="0.25">
      <c r="A397">
        <v>33</v>
      </c>
      <c r="B397" t="s">
        <v>145</v>
      </c>
      <c r="C397">
        <v>120</v>
      </c>
      <c r="D397" t="s">
        <v>185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146</v>
      </c>
      <c r="C398">
        <v>10</v>
      </c>
      <c r="D398" t="s">
        <v>296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146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146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146</v>
      </c>
      <c r="C401">
        <v>40</v>
      </c>
      <c r="D401" t="s">
        <v>105</v>
      </c>
      <c r="E401" t="s">
        <v>106</v>
      </c>
      <c r="F401">
        <v>0.31900000000000001</v>
      </c>
      <c r="G401" t="s">
        <v>14</v>
      </c>
    </row>
    <row r="402" spans="1:7" x14ac:dyDescent="0.25">
      <c r="A402">
        <v>34</v>
      </c>
      <c r="B402" t="s">
        <v>146</v>
      </c>
      <c r="C402">
        <v>50</v>
      </c>
      <c r="D402" t="s">
        <v>107</v>
      </c>
      <c r="E402" t="s">
        <v>15</v>
      </c>
      <c r="F402">
        <v>19.355</v>
      </c>
      <c r="G402" t="s">
        <v>14</v>
      </c>
    </row>
    <row r="403" spans="1:7" x14ac:dyDescent="0.25">
      <c r="A403">
        <v>34</v>
      </c>
      <c r="B403" t="s">
        <v>146</v>
      </c>
      <c r="C403">
        <v>60</v>
      </c>
      <c r="D403" t="s">
        <v>18</v>
      </c>
      <c r="E403" t="s">
        <v>15</v>
      </c>
      <c r="F403">
        <v>119.032</v>
      </c>
      <c r="G403" t="s">
        <v>14</v>
      </c>
    </row>
    <row r="404" spans="1:7" x14ac:dyDescent="0.25">
      <c r="A404">
        <v>34</v>
      </c>
      <c r="B404" t="s">
        <v>146</v>
      </c>
      <c r="C404">
        <v>70</v>
      </c>
      <c r="D404" t="s">
        <v>113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146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146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146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146</v>
      </c>
      <c r="C408">
        <v>110</v>
      </c>
      <c r="D408" t="s">
        <v>111</v>
      </c>
      <c r="E408" t="s">
        <v>13</v>
      </c>
      <c r="F408">
        <v>1.27</v>
      </c>
      <c r="G408" t="s">
        <v>14</v>
      </c>
    </row>
    <row r="409" spans="1:7" x14ac:dyDescent="0.25">
      <c r="A409">
        <v>34</v>
      </c>
      <c r="B409" t="s">
        <v>146</v>
      </c>
      <c r="C409">
        <v>120</v>
      </c>
      <c r="D409" t="s">
        <v>186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147</v>
      </c>
      <c r="C410">
        <v>10</v>
      </c>
      <c r="D410" t="s">
        <v>297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147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147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147</v>
      </c>
      <c r="C413">
        <v>40</v>
      </c>
      <c r="D413" t="s">
        <v>105</v>
      </c>
      <c r="E413" t="s">
        <v>106</v>
      </c>
      <c r="F413">
        <v>0.37</v>
      </c>
      <c r="G413" t="s">
        <v>14</v>
      </c>
    </row>
    <row r="414" spans="1:7" x14ac:dyDescent="0.25">
      <c r="A414">
        <v>35</v>
      </c>
      <c r="B414" t="s">
        <v>147</v>
      </c>
      <c r="C414">
        <v>50</v>
      </c>
      <c r="D414" t="s">
        <v>107</v>
      </c>
      <c r="E414" t="s">
        <v>15</v>
      </c>
      <c r="F414">
        <v>20.268999999999998</v>
      </c>
      <c r="G414" t="s">
        <v>14</v>
      </c>
    </row>
    <row r="415" spans="1:7" x14ac:dyDescent="0.25">
      <c r="A415">
        <v>35</v>
      </c>
      <c r="B415" t="s">
        <v>147</v>
      </c>
      <c r="C415">
        <v>60</v>
      </c>
      <c r="D415" t="s">
        <v>18</v>
      </c>
      <c r="E415" t="s">
        <v>15</v>
      </c>
      <c r="F415">
        <v>124.65600000000001</v>
      </c>
      <c r="G415" t="s">
        <v>14</v>
      </c>
    </row>
    <row r="416" spans="1:7" x14ac:dyDescent="0.25">
      <c r="A416">
        <v>35</v>
      </c>
      <c r="B416" t="s">
        <v>147</v>
      </c>
      <c r="C416">
        <v>70</v>
      </c>
      <c r="D416" t="s">
        <v>113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147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147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147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147</v>
      </c>
      <c r="C420">
        <v>110</v>
      </c>
      <c r="D420" t="s">
        <v>111</v>
      </c>
      <c r="E420" t="s">
        <v>13</v>
      </c>
      <c r="F420">
        <v>1.27</v>
      </c>
      <c r="G420" t="s">
        <v>14</v>
      </c>
    </row>
    <row r="421" spans="1:7" x14ac:dyDescent="0.25">
      <c r="A421">
        <v>35</v>
      </c>
      <c r="B421" t="s">
        <v>147</v>
      </c>
      <c r="C421">
        <v>120</v>
      </c>
      <c r="D421" t="s">
        <v>187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148</v>
      </c>
      <c r="C422">
        <v>10</v>
      </c>
      <c r="D422" t="s">
        <v>298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148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148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148</v>
      </c>
      <c r="C425">
        <v>40</v>
      </c>
      <c r="D425" t="s">
        <v>105</v>
      </c>
      <c r="E425" t="s">
        <v>106</v>
      </c>
      <c r="F425">
        <v>0.42</v>
      </c>
      <c r="G425" t="s">
        <v>14</v>
      </c>
    </row>
    <row r="426" spans="1:7" x14ac:dyDescent="0.25">
      <c r="A426">
        <v>36</v>
      </c>
      <c r="B426" t="s">
        <v>148</v>
      </c>
      <c r="C426">
        <v>50</v>
      </c>
      <c r="D426" t="s">
        <v>107</v>
      </c>
      <c r="E426" t="s">
        <v>15</v>
      </c>
      <c r="F426">
        <v>21.184000000000001</v>
      </c>
      <c r="G426" t="s">
        <v>14</v>
      </c>
    </row>
    <row r="427" spans="1:7" x14ac:dyDescent="0.25">
      <c r="A427">
        <v>36</v>
      </c>
      <c r="B427" t="s">
        <v>148</v>
      </c>
      <c r="C427">
        <v>60</v>
      </c>
      <c r="D427" t="s">
        <v>18</v>
      </c>
      <c r="E427" t="s">
        <v>15</v>
      </c>
      <c r="F427">
        <v>130.279</v>
      </c>
      <c r="G427" t="s">
        <v>14</v>
      </c>
    </row>
    <row r="428" spans="1:7" x14ac:dyDescent="0.25">
      <c r="A428">
        <v>36</v>
      </c>
      <c r="B428" t="s">
        <v>148</v>
      </c>
      <c r="C428">
        <v>70</v>
      </c>
      <c r="D428" t="s">
        <v>113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148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148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148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148</v>
      </c>
      <c r="C432">
        <v>110</v>
      </c>
      <c r="D432" t="s">
        <v>111</v>
      </c>
      <c r="E432" t="s">
        <v>13</v>
      </c>
      <c r="F432">
        <v>1.27</v>
      </c>
      <c r="G432" t="s">
        <v>14</v>
      </c>
    </row>
    <row r="433" spans="1:7" x14ac:dyDescent="0.25">
      <c r="A433">
        <v>36</v>
      </c>
      <c r="B433" t="s">
        <v>148</v>
      </c>
      <c r="C433">
        <v>120</v>
      </c>
      <c r="D433" t="s">
        <v>188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149</v>
      </c>
      <c r="C434">
        <v>10</v>
      </c>
      <c r="D434" t="s">
        <v>299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149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149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149</v>
      </c>
      <c r="C437">
        <v>40</v>
      </c>
      <c r="D437" t="s">
        <v>105</v>
      </c>
      <c r="E437" t="s">
        <v>106</v>
      </c>
      <c r="F437">
        <v>0.44500000000000001</v>
      </c>
      <c r="G437" t="s">
        <v>14</v>
      </c>
    </row>
    <row r="438" spans="1:7" x14ac:dyDescent="0.25">
      <c r="A438">
        <v>37</v>
      </c>
      <c r="B438" t="s">
        <v>149</v>
      </c>
      <c r="C438">
        <v>50</v>
      </c>
      <c r="D438" t="s">
        <v>107</v>
      </c>
      <c r="E438" t="s">
        <v>15</v>
      </c>
      <c r="F438">
        <v>21.640999999999998</v>
      </c>
      <c r="G438" t="s">
        <v>14</v>
      </c>
    </row>
    <row r="439" spans="1:7" x14ac:dyDescent="0.25">
      <c r="A439">
        <v>37</v>
      </c>
      <c r="B439" t="s">
        <v>149</v>
      </c>
      <c r="C439">
        <v>60</v>
      </c>
      <c r="D439" t="s">
        <v>18</v>
      </c>
      <c r="E439" t="s">
        <v>15</v>
      </c>
      <c r="F439">
        <v>133.09100000000001</v>
      </c>
      <c r="G439" t="s">
        <v>14</v>
      </c>
    </row>
    <row r="440" spans="1:7" x14ac:dyDescent="0.25">
      <c r="A440">
        <v>37</v>
      </c>
      <c r="B440" t="s">
        <v>149</v>
      </c>
      <c r="C440">
        <v>70</v>
      </c>
      <c r="D440" t="s">
        <v>113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149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149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149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149</v>
      </c>
      <c r="C444">
        <v>110</v>
      </c>
      <c r="D444" t="s">
        <v>111</v>
      </c>
      <c r="E444" t="s">
        <v>13</v>
      </c>
      <c r="F444">
        <v>1.27</v>
      </c>
      <c r="G444" t="s">
        <v>14</v>
      </c>
    </row>
    <row r="445" spans="1:7" x14ac:dyDescent="0.25">
      <c r="A445">
        <v>37</v>
      </c>
      <c r="B445" t="s">
        <v>149</v>
      </c>
      <c r="C445">
        <v>120</v>
      </c>
      <c r="D445" t="s">
        <v>189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150</v>
      </c>
      <c r="C446">
        <v>10</v>
      </c>
      <c r="D446" t="s">
        <v>300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150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150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150</v>
      </c>
      <c r="C449">
        <v>40</v>
      </c>
      <c r="D449" t="s">
        <v>105</v>
      </c>
      <c r="E449" t="s">
        <v>106</v>
      </c>
      <c r="F449">
        <v>0.47099999999999997</v>
      </c>
      <c r="G449" t="s">
        <v>14</v>
      </c>
    </row>
    <row r="450" spans="1:7" x14ac:dyDescent="0.25">
      <c r="A450">
        <v>38</v>
      </c>
      <c r="B450" t="s">
        <v>150</v>
      </c>
      <c r="C450">
        <v>50</v>
      </c>
      <c r="D450" t="s">
        <v>107</v>
      </c>
      <c r="E450" t="s">
        <v>15</v>
      </c>
      <c r="F450">
        <v>22.097999999999999</v>
      </c>
      <c r="G450" t="s">
        <v>14</v>
      </c>
    </row>
    <row r="451" spans="1:7" x14ac:dyDescent="0.25">
      <c r="A451">
        <v>38</v>
      </c>
      <c r="B451" t="s">
        <v>150</v>
      </c>
      <c r="C451">
        <v>60</v>
      </c>
      <c r="D451" t="s">
        <v>18</v>
      </c>
      <c r="E451" t="s">
        <v>15</v>
      </c>
      <c r="F451">
        <v>135.90299999999999</v>
      </c>
      <c r="G451" t="s">
        <v>14</v>
      </c>
    </row>
    <row r="452" spans="1:7" x14ac:dyDescent="0.25">
      <c r="A452">
        <v>38</v>
      </c>
      <c r="B452" t="s">
        <v>150</v>
      </c>
      <c r="C452">
        <v>70</v>
      </c>
      <c r="D452" t="s">
        <v>113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150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150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150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150</v>
      </c>
      <c r="C456">
        <v>110</v>
      </c>
      <c r="D456" t="s">
        <v>111</v>
      </c>
      <c r="E456" t="s">
        <v>13</v>
      </c>
      <c r="F456">
        <v>1.27</v>
      </c>
      <c r="G456" t="s">
        <v>14</v>
      </c>
    </row>
    <row r="457" spans="1:7" x14ac:dyDescent="0.25">
      <c r="A457">
        <v>38</v>
      </c>
      <c r="B457" t="s">
        <v>150</v>
      </c>
      <c r="C457">
        <v>120</v>
      </c>
      <c r="D457" t="s">
        <v>190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151</v>
      </c>
      <c r="C458">
        <v>10</v>
      </c>
      <c r="D458" t="s">
        <v>301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151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151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151</v>
      </c>
      <c r="C461">
        <v>40</v>
      </c>
      <c r="D461" t="s">
        <v>105</v>
      </c>
      <c r="E461" t="s">
        <v>106</v>
      </c>
      <c r="F461">
        <v>0.52100000000000002</v>
      </c>
      <c r="G461" t="s">
        <v>14</v>
      </c>
    </row>
    <row r="462" spans="1:7" x14ac:dyDescent="0.25">
      <c r="A462">
        <v>39</v>
      </c>
      <c r="B462" t="s">
        <v>151</v>
      </c>
      <c r="C462">
        <v>50</v>
      </c>
      <c r="D462" t="s">
        <v>107</v>
      </c>
      <c r="E462" t="s">
        <v>15</v>
      </c>
      <c r="F462">
        <v>23.012</v>
      </c>
      <c r="G462" t="s">
        <v>14</v>
      </c>
    </row>
    <row r="463" spans="1:7" x14ac:dyDescent="0.25">
      <c r="A463">
        <v>39</v>
      </c>
      <c r="B463" t="s">
        <v>151</v>
      </c>
      <c r="C463">
        <v>60</v>
      </c>
      <c r="D463" t="s">
        <v>18</v>
      </c>
      <c r="E463" t="s">
        <v>15</v>
      </c>
      <c r="F463">
        <v>141.52600000000001</v>
      </c>
      <c r="G463" t="s">
        <v>14</v>
      </c>
    </row>
    <row r="464" spans="1:7" x14ac:dyDescent="0.25">
      <c r="A464">
        <v>39</v>
      </c>
      <c r="B464" t="s">
        <v>151</v>
      </c>
      <c r="C464">
        <v>70</v>
      </c>
      <c r="D464" t="s">
        <v>113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151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151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151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151</v>
      </c>
      <c r="C468">
        <v>110</v>
      </c>
      <c r="D468" t="s">
        <v>111</v>
      </c>
      <c r="E468" t="s">
        <v>13</v>
      </c>
      <c r="F468">
        <v>1.27</v>
      </c>
      <c r="G468" t="s">
        <v>14</v>
      </c>
    </row>
    <row r="469" spans="1:7" x14ac:dyDescent="0.25">
      <c r="A469">
        <v>39</v>
      </c>
      <c r="B469" t="s">
        <v>151</v>
      </c>
      <c r="C469">
        <v>120</v>
      </c>
      <c r="D469" t="s">
        <v>191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152</v>
      </c>
      <c r="C470">
        <v>10</v>
      </c>
      <c r="D470" t="s">
        <v>302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152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152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152</v>
      </c>
      <c r="C473">
        <v>40</v>
      </c>
      <c r="D473" t="s">
        <v>105</v>
      </c>
      <c r="E473" t="s">
        <v>106</v>
      </c>
      <c r="F473">
        <v>0.57099999999999995</v>
      </c>
      <c r="G473" t="s">
        <v>14</v>
      </c>
    </row>
    <row r="474" spans="1:7" x14ac:dyDescent="0.25">
      <c r="A474">
        <v>40</v>
      </c>
      <c r="B474" t="s">
        <v>152</v>
      </c>
      <c r="C474">
        <v>50</v>
      </c>
      <c r="D474" t="s">
        <v>107</v>
      </c>
      <c r="E474" t="s">
        <v>15</v>
      </c>
      <c r="F474">
        <v>23.927</v>
      </c>
      <c r="G474" t="s">
        <v>14</v>
      </c>
    </row>
    <row r="475" spans="1:7" x14ac:dyDescent="0.25">
      <c r="A475">
        <v>40</v>
      </c>
      <c r="B475" t="s">
        <v>152</v>
      </c>
      <c r="C475">
        <v>60</v>
      </c>
      <c r="D475" t="s">
        <v>18</v>
      </c>
      <c r="E475" t="s">
        <v>15</v>
      </c>
      <c r="F475">
        <v>147.15</v>
      </c>
      <c r="G475" t="s">
        <v>14</v>
      </c>
    </row>
    <row r="476" spans="1:7" x14ac:dyDescent="0.25">
      <c r="A476">
        <v>40</v>
      </c>
      <c r="B476" t="s">
        <v>152</v>
      </c>
      <c r="C476">
        <v>70</v>
      </c>
      <c r="D476" t="s">
        <v>113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152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152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152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152</v>
      </c>
      <c r="C480">
        <v>110</v>
      </c>
      <c r="D480" t="s">
        <v>111</v>
      </c>
      <c r="E480" t="s">
        <v>13</v>
      </c>
      <c r="F480">
        <v>1.27</v>
      </c>
      <c r="G480" t="s">
        <v>14</v>
      </c>
    </row>
    <row r="481" spans="1:7" x14ac:dyDescent="0.25">
      <c r="A481">
        <v>40</v>
      </c>
      <c r="B481" t="s">
        <v>152</v>
      </c>
      <c r="C481">
        <v>120</v>
      </c>
      <c r="D481" t="s">
        <v>192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193</v>
      </c>
      <c r="C482">
        <v>10</v>
      </c>
      <c r="D482" t="s">
        <v>303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193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193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193</v>
      </c>
      <c r="C485">
        <v>40</v>
      </c>
      <c r="D485" t="s">
        <v>105</v>
      </c>
      <c r="E485" t="s">
        <v>106</v>
      </c>
      <c r="F485">
        <v>0.20799999999999999</v>
      </c>
      <c r="G485" t="s">
        <v>14</v>
      </c>
    </row>
    <row r="486" spans="1:7" x14ac:dyDescent="0.25">
      <c r="A486">
        <v>41</v>
      </c>
      <c r="B486" t="s">
        <v>193</v>
      </c>
      <c r="C486">
        <v>50</v>
      </c>
      <c r="D486" t="s">
        <v>107</v>
      </c>
      <c r="E486" t="s">
        <v>15</v>
      </c>
      <c r="F486">
        <v>16.154</v>
      </c>
      <c r="G486" t="s">
        <v>14</v>
      </c>
    </row>
    <row r="487" spans="1:7" x14ac:dyDescent="0.25">
      <c r="A487">
        <v>41</v>
      </c>
      <c r="B487" t="s">
        <v>193</v>
      </c>
      <c r="C487">
        <v>60</v>
      </c>
      <c r="D487" t="s">
        <v>18</v>
      </c>
      <c r="E487" t="s">
        <v>15</v>
      </c>
      <c r="F487">
        <v>99.35</v>
      </c>
      <c r="G487" t="s">
        <v>14</v>
      </c>
    </row>
    <row r="488" spans="1:7" x14ac:dyDescent="0.25">
      <c r="A488">
        <v>41</v>
      </c>
      <c r="B488" t="s">
        <v>193</v>
      </c>
      <c r="C488">
        <v>70</v>
      </c>
      <c r="D488" t="s">
        <v>113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193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193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193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193</v>
      </c>
      <c r="C492">
        <v>110</v>
      </c>
      <c r="D492" t="s">
        <v>111</v>
      </c>
      <c r="E492" t="s">
        <v>13</v>
      </c>
      <c r="F492">
        <v>0.54</v>
      </c>
      <c r="G492" t="s">
        <v>14</v>
      </c>
    </row>
    <row r="493" spans="1:7" x14ac:dyDescent="0.25">
      <c r="A493">
        <v>41</v>
      </c>
      <c r="B493" t="s">
        <v>193</v>
      </c>
      <c r="C493">
        <v>120</v>
      </c>
      <c r="D493" t="s">
        <v>194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195</v>
      </c>
      <c r="C494">
        <v>10</v>
      </c>
      <c r="D494" t="s">
        <v>304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195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195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195</v>
      </c>
      <c r="C497">
        <v>40</v>
      </c>
      <c r="D497" t="s">
        <v>105</v>
      </c>
      <c r="E497" t="s">
        <v>106</v>
      </c>
      <c r="F497">
        <v>0.252</v>
      </c>
      <c r="G497" t="s">
        <v>14</v>
      </c>
    </row>
    <row r="498" spans="1:7" x14ac:dyDescent="0.25">
      <c r="A498">
        <v>42</v>
      </c>
      <c r="B498" t="s">
        <v>195</v>
      </c>
      <c r="C498">
        <v>50</v>
      </c>
      <c r="D498" t="s">
        <v>107</v>
      </c>
      <c r="E498" t="s">
        <v>15</v>
      </c>
      <c r="F498">
        <v>17.068999999999999</v>
      </c>
      <c r="G498" t="s">
        <v>14</v>
      </c>
    </row>
    <row r="499" spans="1:7" x14ac:dyDescent="0.25">
      <c r="A499">
        <v>42</v>
      </c>
      <c r="B499" t="s">
        <v>195</v>
      </c>
      <c r="C499">
        <v>60</v>
      </c>
      <c r="D499" t="s">
        <v>18</v>
      </c>
      <c r="E499" t="s">
        <v>15</v>
      </c>
      <c r="F499">
        <v>104.973</v>
      </c>
      <c r="G499" t="s">
        <v>14</v>
      </c>
    </row>
    <row r="500" spans="1:7" x14ac:dyDescent="0.25">
      <c r="A500">
        <v>42</v>
      </c>
      <c r="B500" t="s">
        <v>195</v>
      </c>
      <c r="C500">
        <v>70</v>
      </c>
      <c r="D500" t="s">
        <v>113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195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195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195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195</v>
      </c>
      <c r="C504">
        <v>110</v>
      </c>
      <c r="D504" t="s">
        <v>111</v>
      </c>
      <c r="E504" t="s">
        <v>13</v>
      </c>
      <c r="F504">
        <v>0.622</v>
      </c>
      <c r="G504" t="s">
        <v>14</v>
      </c>
    </row>
    <row r="505" spans="1:7" x14ac:dyDescent="0.25">
      <c r="A505">
        <v>42</v>
      </c>
      <c r="B505" t="s">
        <v>195</v>
      </c>
      <c r="C505">
        <v>120</v>
      </c>
      <c r="D505" t="s">
        <v>196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197</v>
      </c>
      <c r="C506">
        <v>10</v>
      </c>
      <c r="D506" t="s">
        <v>305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197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197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197</v>
      </c>
      <c r="C509">
        <v>40</v>
      </c>
      <c r="D509" t="s">
        <v>105</v>
      </c>
      <c r="E509" t="s">
        <v>106</v>
      </c>
      <c r="F509">
        <v>0.29499999999999998</v>
      </c>
      <c r="G509" t="s">
        <v>14</v>
      </c>
    </row>
    <row r="510" spans="1:7" x14ac:dyDescent="0.25">
      <c r="A510">
        <v>43</v>
      </c>
      <c r="B510" t="s">
        <v>197</v>
      </c>
      <c r="C510">
        <v>50</v>
      </c>
      <c r="D510" t="s">
        <v>107</v>
      </c>
      <c r="E510" t="s">
        <v>15</v>
      </c>
      <c r="F510">
        <v>17.983000000000001</v>
      </c>
      <c r="G510" t="s">
        <v>14</v>
      </c>
    </row>
    <row r="511" spans="1:7" x14ac:dyDescent="0.25">
      <c r="A511">
        <v>43</v>
      </c>
      <c r="B511" t="s">
        <v>197</v>
      </c>
      <c r="C511">
        <v>60</v>
      </c>
      <c r="D511" t="s">
        <v>18</v>
      </c>
      <c r="E511" t="s">
        <v>15</v>
      </c>
      <c r="F511">
        <v>110.59699999999999</v>
      </c>
      <c r="G511" t="s">
        <v>14</v>
      </c>
    </row>
    <row r="512" spans="1:7" x14ac:dyDescent="0.25">
      <c r="A512">
        <v>43</v>
      </c>
      <c r="B512" t="s">
        <v>197</v>
      </c>
      <c r="C512">
        <v>70</v>
      </c>
      <c r="D512" t="s">
        <v>113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197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197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197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197</v>
      </c>
      <c r="C516">
        <v>110</v>
      </c>
      <c r="D516" t="s">
        <v>111</v>
      </c>
      <c r="E516" t="s">
        <v>13</v>
      </c>
      <c r="F516">
        <v>0.70299999999999996</v>
      </c>
      <c r="G516" t="s">
        <v>14</v>
      </c>
    </row>
    <row r="517" spans="1:7" x14ac:dyDescent="0.25">
      <c r="A517">
        <v>43</v>
      </c>
      <c r="B517" t="s">
        <v>197</v>
      </c>
      <c r="C517">
        <v>120</v>
      </c>
      <c r="D517" t="s">
        <v>198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199</v>
      </c>
      <c r="C518">
        <v>10</v>
      </c>
      <c r="D518" t="s">
        <v>306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199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199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199</v>
      </c>
      <c r="C521">
        <v>40</v>
      </c>
      <c r="D521" t="s">
        <v>105</v>
      </c>
      <c r="E521" t="s">
        <v>106</v>
      </c>
      <c r="F521">
        <v>0.33800000000000002</v>
      </c>
      <c r="G521" t="s">
        <v>14</v>
      </c>
    </row>
    <row r="522" spans="1:7" x14ac:dyDescent="0.25">
      <c r="A522">
        <v>44</v>
      </c>
      <c r="B522" t="s">
        <v>199</v>
      </c>
      <c r="C522">
        <v>50</v>
      </c>
      <c r="D522" t="s">
        <v>107</v>
      </c>
      <c r="E522" t="s">
        <v>15</v>
      </c>
      <c r="F522">
        <v>18.898</v>
      </c>
      <c r="G522" t="s">
        <v>14</v>
      </c>
    </row>
    <row r="523" spans="1:7" x14ac:dyDescent="0.25">
      <c r="A523">
        <v>44</v>
      </c>
      <c r="B523" t="s">
        <v>199</v>
      </c>
      <c r="C523">
        <v>60</v>
      </c>
      <c r="D523" t="s">
        <v>18</v>
      </c>
      <c r="E523" t="s">
        <v>15</v>
      </c>
      <c r="F523">
        <v>116.22</v>
      </c>
      <c r="G523" t="s">
        <v>14</v>
      </c>
    </row>
    <row r="524" spans="1:7" x14ac:dyDescent="0.25">
      <c r="A524">
        <v>44</v>
      </c>
      <c r="B524" t="s">
        <v>199</v>
      </c>
      <c r="C524">
        <v>70</v>
      </c>
      <c r="D524" t="s">
        <v>113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199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199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199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199</v>
      </c>
      <c r="C528">
        <v>110</v>
      </c>
      <c r="D528" t="s">
        <v>111</v>
      </c>
      <c r="E528" t="s">
        <v>13</v>
      </c>
      <c r="F528">
        <v>0.78400000000000003</v>
      </c>
      <c r="G528" t="s">
        <v>14</v>
      </c>
    </row>
    <row r="529" spans="1:7" x14ac:dyDescent="0.25">
      <c r="A529">
        <v>44</v>
      </c>
      <c r="B529" t="s">
        <v>199</v>
      </c>
      <c r="C529">
        <v>120</v>
      </c>
      <c r="D529" t="s">
        <v>200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201</v>
      </c>
      <c r="C530">
        <v>10</v>
      </c>
      <c r="D530" t="s">
        <v>307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201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201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201</v>
      </c>
      <c r="C533">
        <v>40</v>
      </c>
      <c r="D533" t="s">
        <v>105</v>
      </c>
      <c r="E533" t="s">
        <v>106</v>
      </c>
      <c r="F533">
        <v>0.42399999999999999</v>
      </c>
      <c r="G533" t="s">
        <v>14</v>
      </c>
    </row>
    <row r="534" spans="1:7" x14ac:dyDescent="0.25">
      <c r="A534">
        <v>45</v>
      </c>
      <c r="B534" t="s">
        <v>201</v>
      </c>
      <c r="C534">
        <v>50</v>
      </c>
      <c r="D534" t="s">
        <v>107</v>
      </c>
      <c r="E534" t="s">
        <v>15</v>
      </c>
      <c r="F534">
        <v>20.725999999999999</v>
      </c>
      <c r="G534" t="s">
        <v>14</v>
      </c>
    </row>
    <row r="535" spans="1:7" x14ac:dyDescent="0.25">
      <c r="A535">
        <v>45</v>
      </c>
      <c r="B535" t="s">
        <v>201</v>
      </c>
      <c r="C535">
        <v>60</v>
      </c>
      <c r="D535" t="s">
        <v>18</v>
      </c>
      <c r="E535" t="s">
        <v>15</v>
      </c>
      <c r="F535">
        <v>127.467</v>
      </c>
      <c r="G535" t="s">
        <v>14</v>
      </c>
    </row>
    <row r="536" spans="1:7" x14ac:dyDescent="0.25">
      <c r="A536">
        <v>45</v>
      </c>
      <c r="B536" t="s">
        <v>201</v>
      </c>
      <c r="C536">
        <v>70</v>
      </c>
      <c r="D536" t="s">
        <v>113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201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201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201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201</v>
      </c>
      <c r="C540">
        <v>110</v>
      </c>
      <c r="D540" t="s">
        <v>111</v>
      </c>
      <c r="E540" t="s">
        <v>13</v>
      </c>
      <c r="F540">
        <v>0.94599999999999995</v>
      </c>
      <c r="G540" t="s">
        <v>14</v>
      </c>
    </row>
    <row r="541" spans="1:7" x14ac:dyDescent="0.25">
      <c r="A541">
        <v>45</v>
      </c>
      <c r="B541" t="s">
        <v>201</v>
      </c>
      <c r="C541">
        <v>120</v>
      </c>
      <c r="D541" t="s">
        <v>202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203</v>
      </c>
      <c r="C542">
        <v>10</v>
      </c>
      <c r="D542" t="s">
        <v>308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203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203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203</v>
      </c>
      <c r="C545">
        <v>40</v>
      </c>
      <c r="D545" t="s">
        <v>105</v>
      </c>
      <c r="E545" t="s">
        <v>106</v>
      </c>
      <c r="F545">
        <v>0.46700000000000003</v>
      </c>
      <c r="G545" t="s">
        <v>14</v>
      </c>
    </row>
    <row r="546" spans="1:7" x14ac:dyDescent="0.25">
      <c r="A546">
        <v>46</v>
      </c>
      <c r="B546" t="s">
        <v>203</v>
      </c>
      <c r="C546">
        <v>50</v>
      </c>
      <c r="D546" t="s">
        <v>107</v>
      </c>
      <c r="E546" t="s">
        <v>15</v>
      </c>
      <c r="F546">
        <v>21.640999999999998</v>
      </c>
      <c r="G546" t="s">
        <v>14</v>
      </c>
    </row>
    <row r="547" spans="1:7" x14ac:dyDescent="0.25">
      <c r="A547">
        <v>46</v>
      </c>
      <c r="B547" t="s">
        <v>203</v>
      </c>
      <c r="C547">
        <v>60</v>
      </c>
      <c r="D547" t="s">
        <v>18</v>
      </c>
      <c r="E547" t="s">
        <v>15</v>
      </c>
      <c r="F547">
        <v>133.09100000000001</v>
      </c>
      <c r="G547" t="s">
        <v>14</v>
      </c>
    </row>
    <row r="548" spans="1:7" x14ac:dyDescent="0.25">
      <c r="A548">
        <v>46</v>
      </c>
      <c r="B548" t="s">
        <v>203</v>
      </c>
      <c r="C548">
        <v>70</v>
      </c>
      <c r="D548" t="s">
        <v>113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203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203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203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203</v>
      </c>
      <c r="C552">
        <v>110</v>
      </c>
      <c r="D552" t="s">
        <v>111</v>
      </c>
      <c r="E552" t="s">
        <v>13</v>
      </c>
      <c r="F552">
        <v>1.0269999999999999</v>
      </c>
      <c r="G552" t="s">
        <v>14</v>
      </c>
    </row>
    <row r="553" spans="1:7" x14ac:dyDescent="0.25">
      <c r="A553">
        <v>46</v>
      </c>
      <c r="B553" t="s">
        <v>203</v>
      </c>
      <c r="C553">
        <v>120</v>
      </c>
      <c r="D553" t="s">
        <v>204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205</v>
      </c>
      <c r="C554">
        <v>10</v>
      </c>
      <c r="D554" t="s">
        <v>309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205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205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205</v>
      </c>
      <c r="C557">
        <v>40</v>
      </c>
      <c r="D557" t="s">
        <v>105</v>
      </c>
      <c r="E557" t="s">
        <v>106</v>
      </c>
      <c r="F557">
        <v>0.51</v>
      </c>
      <c r="G557" t="s">
        <v>14</v>
      </c>
    </row>
    <row r="558" spans="1:7" x14ac:dyDescent="0.25">
      <c r="A558">
        <v>47</v>
      </c>
      <c r="B558" t="s">
        <v>205</v>
      </c>
      <c r="C558">
        <v>50</v>
      </c>
      <c r="D558" t="s">
        <v>107</v>
      </c>
      <c r="E558" t="s">
        <v>15</v>
      </c>
      <c r="F558">
        <v>22.555</v>
      </c>
      <c r="G558" t="s">
        <v>14</v>
      </c>
    </row>
    <row r="559" spans="1:7" x14ac:dyDescent="0.25">
      <c r="A559">
        <v>47</v>
      </c>
      <c r="B559" t="s">
        <v>205</v>
      </c>
      <c r="C559">
        <v>60</v>
      </c>
      <c r="D559" t="s">
        <v>18</v>
      </c>
      <c r="E559" t="s">
        <v>15</v>
      </c>
      <c r="F559">
        <v>138.714</v>
      </c>
      <c r="G559" t="s">
        <v>14</v>
      </c>
    </row>
    <row r="560" spans="1:7" x14ac:dyDescent="0.25">
      <c r="A560">
        <v>47</v>
      </c>
      <c r="B560" t="s">
        <v>205</v>
      </c>
      <c r="C560">
        <v>70</v>
      </c>
      <c r="D560" t="s">
        <v>113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205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205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205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205</v>
      </c>
      <c r="C564">
        <v>110</v>
      </c>
      <c r="D564" t="s">
        <v>111</v>
      </c>
      <c r="E564" t="s">
        <v>13</v>
      </c>
      <c r="F564">
        <v>1.1080000000000001</v>
      </c>
      <c r="G564" t="s">
        <v>14</v>
      </c>
    </row>
    <row r="565" spans="1:7" x14ac:dyDescent="0.25">
      <c r="A565">
        <v>47</v>
      </c>
      <c r="B565" t="s">
        <v>205</v>
      </c>
      <c r="C565">
        <v>120</v>
      </c>
      <c r="D565" t="s">
        <v>206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207</v>
      </c>
      <c r="C566">
        <v>10</v>
      </c>
      <c r="D566" t="s">
        <v>310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207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207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207</v>
      </c>
      <c r="C569">
        <v>40</v>
      </c>
      <c r="D569" t="s">
        <v>105</v>
      </c>
      <c r="E569" t="s">
        <v>106</v>
      </c>
      <c r="F569">
        <v>0.217</v>
      </c>
      <c r="G569" t="s">
        <v>14</v>
      </c>
    </row>
    <row r="570" spans="1:7" x14ac:dyDescent="0.25">
      <c r="A570">
        <v>48</v>
      </c>
      <c r="B570" t="s">
        <v>207</v>
      </c>
      <c r="C570">
        <v>50</v>
      </c>
      <c r="D570" t="s">
        <v>107</v>
      </c>
      <c r="E570" t="s">
        <v>15</v>
      </c>
      <c r="F570">
        <v>16.611999999999998</v>
      </c>
      <c r="G570" t="s">
        <v>14</v>
      </c>
    </row>
    <row r="571" spans="1:7" x14ac:dyDescent="0.25">
      <c r="A571">
        <v>48</v>
      </c>
      <c r="B571" t="s">
        <v>207</v>
      </c>
      <c r="C571">
        <v>60</v>
      </c>
      <c r="D571" t="s">
        <v>18</v>
      </c>
      <c r="E571" t="s">
        <v>15</v>
      </c>
      <c r="F571">
        <v>102.161</v>
      </c>
      <c r="G571" t="s">
        <v>14</v>
      </c>
    </row>
    <row r="572" spans="1:7" x14ac:dyDescent="0.25">
      <c r="A572">
        <v>48</v>
      </c>
      <c r="B572" t="s">
        <v>207</v>
      </c>
      <c r="C572">
        <v>70</v>
      </c>
      <c r="D572" t="s">
        <v>113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207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207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207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207</v>
      </c>
      <c r="C576">
        <v>110</v>
      </c>
      <c r="D576" t="s">
        <v>111</v>
      </c>
      <c r="E576" t="s">
        <v>13</v>
      </c>
      <c r="F576">
        <v>0.54</v>
      </c>
      <c r="G576" t="s">
        <v>14</v>
      </c>
    </row>
    <row r="577" spans="1:7" x14ac:dyDescent="0.25">
      <c r="A577">
        <v>48</v>
      </c>
      <c r="B577" t="s">
        <v>207</v>
      </c>
      <c r="C577">
        <v>120</v>
      </c>
      <c r="D577" t="s">
        <v>208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209</v>
      </c>
      <c r="C578">
        <v>10</v>
      </c>
      <c r="D578" t="s">
        <v>311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209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209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209</v>
      </c>
      <c r="C581">
        <v>40</v>
      </c>
      <c r="D581" t="s">
        <v>105</v>
      </c>
      <c r="E581" t="s">
        <v>106</v>
      </c>
      <c r="F581">
        <v>0.26200000000000001</v>
      </c>
      <c r="G581" t="s">
        <v>14</v>
      </c>
    </row>
    <row r="582" spans="1:7" x14ac:dyDescent="0.25">
      <c r="A582">
        <v>49</v>
      </c>
      <c r="B582" t="s">
        <v>209</v>
      </c>
      <c r="C582">
        <v>50</v>
      </c>
      <c r="D582" t="s">
        <v>107</v>
      </c>
      <c r="E582" t="s">
        <v>15</v>
      </c>
      <c r="F582">
        <v>17.526</v>
      </c>
      <c r="G582" t="s">
        <v>14</v>
      </c>
    </row>
    <row r="583" spans="1:7" x14ac:dyDescent="0.25">
      <c r="A583">
        <v>49</v>
      </c>
      <c r="B583" t="s">
        <v>209</v>
      </c>
      <c r="C583">
        <v>60</v>
      </c>
      <c r="D583" t="s">
        <v>18</v>
      </c>
      <c r="E583" t="s">
        <v>15</v>
      </c>
      <c r="F583">
        <v>107.785</v>
      </c>
      <c r="G583" t="s">
        <v>14</v>
      </c>
    </row>
    <row r="584" spans="1:7" x14ac:dyDescent="0.25">
      <c r="A584">
        <v>49</v>
      </c>
      <c r="B584" t="s">
        <v>209</v>
      </c>
      <c r="C584">
        <v>70</v>
      </c>
      <c r="D584" t="s">
        <v>113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209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209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209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209</v>
      </c>
      <c r="C588">
        <v>110</v>
      </c>
      <c r="D588" t="s">
        <v>111</v>
      </c>
      <c r="E588" t="s">
        <v>13</v>
      </c>
      <c r="F588">
        <v>0.622</v>
      </c>
      <c r="G588" t="s">
        <v>14</v>
      </c>
    </row>
    <row r="589" spans="1:7" x14ac:dyDescent="0.25">
      <c r="A589">
        <v>49</v>
      </c>
      <c r="B589" t="s">
        <v>209</v>
      </c>
      <c r="C589">
        <v>120</v>
      </c>
      <c r="D589" t="s">
        <v>210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211</v>
      </c>
      <c r="C590">
        <v>10</v>
      </c>
      <c r="D590" t="s">
        <v>312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211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211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211</v>
      </c>
      <c r="C593">
        <v>40</v>
      </c>
      <c r="D593" t="s">
        <v>105</v>
      </c>
      <c r="E593" t="s">
        <v>106</v>
      </c>
      <c r="F593">
        <v>0.307</v>
      </c>
      <c r="G593" t="s">
        <v>14</v>
      </c>
    </row>
    <row r="594" spans="1:7" x14ac:dyDescent="0.25">
      <c r="A594">
        <v>50</v>
      </c>
      <c r="B594" t="s">
        <v>211</v>
      </c>
      <c r="C594">
        <v>50</v>
      </c>
      <c r="D594" t="s">
        <v>107</v>
      </c>
      <c r="E594" t="s">
        <v>15</v>
      </c>
      <c r="F594">
        <v>18.440000000000001</v>
      </c>
      <c r="G594" t="s">
        <v>14</v>
      </c>
    </row>
    <row r="595" spans="1:7" x14ac:dyDescent="0.25">
      <c r="A595">
        <v>50</v>
      </c>
      <c r="B595" t="s">
        <v>211</v>
      </c>
      <c r="C595">
        <v>60</v>
      </c>
      <c r="D595" t="s">
        <v>18</v>
      </c>
      <c r="E595" t="s">
        <v>15</v>
      </c>
      <c r="F595">
        <v>113.408</v>
      </c>
      <c r="G595" t="s">
        <v>14</v>
      </c>
    </row>
    <row r="596" spans="1:7" x14ac:dyDescent="0.25">
      <c r="A596">
        <v>50</v>
      </c>
      <c r="B596" t="s">
        <v>211</v>
      </c>
      <c r="C596">
        <v>70</v>
      </c>
      <c r="D596" t="s">
        <v>113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211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211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211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211</v>
      </c>
      <c r="C600">
        <v>110</v>
      </c>
      <c r="D600" t="s">
        <v>111</v>
      </c>
      <c r="E600" t="s">
        <v>13</v>
      </c>
      <c r="F600">
        <v>0.70299999999999996</v>
      </c>
      <c r="G600" t="s">
        <v>14</v>
      </c>
    </row>
    <row r="601" spans="1:7" x14ac:dyDescent="0.25">
      <c r="A601">
        <v>50</v>
      </c>
      <c r="B601" t="s">
        <v>211</v>
      </c>
      <c r="C601">
        <v>120</v>
      </c>
      <c r="D601" t="s">
        <v>212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213</v>
      </c>
      <c r="C602">
        <v>10</v>
      </c>
      <c r="D602" t="s">
        <v>313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213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213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213</v>
      </c>
      <c r="C605">
        <v>40</v>
      </c>
      <c r="D605" t="s">
        <v>105</v>
      </c>
      <c r="E605" t="s">
        <v>106</v>
      </c>
      <c r="F605">
        <v>0.35199999999999998</v>
      </c>
      <c r="G605" t="s">
        <v>14</v>
      </c>
    </row>
    <row r="606" spans="1:7" x14ac:dyDescent="0.25">
      <c r="A606">
        <v>51</v>
      </c>
      <c r="B606" t="s">
        <v>213</v>
      </c>
      <c r="C606">
        <v>50</v>
      </c>
      <c r="D606" t="s">
        <v>107</v>
      </c>
      <c r="E606" t="s">
        <v>15</v>
      </c>
      <c r="F606">
        <v>19.355</v>
      </c>
      <c r="G606" t="s">
        <v>14</v>
      </c>
    </row>
    <row r="607" spans="1:7" x14ac:dyDescent="0.25">
      <c r="A607">
        <v>51</v>
      </c>
      <c r="B607" t="s">
        <v>213</v>
      </c>
      <c r="C607">
        <v>60</v>
      </c>
      <c r="D607" t="s">
        <v>18</v>
      </c>
      <c r="E607" t="s">
        <v>15</v>
      </c>
      <c r="F607">
        <v>119.032</v>
      </c>
      <c r="G607" t="s">
        <v>14</v>
      </c>
    </row>
    <row r="608" spans="1:7" x14ac:dyDescent="0.25">
      <c r="A608">
        <v>51</v>
      </c>
      <c r="B608" t="s">
        <v>213</v>
      </c>
      <c r="C608">
        <v>70</v>
      </c>
      <c r="D608" t="s">
        <v>113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213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213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213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213</v>
      </c>
      <c r="C612">
        <v>110</v>
      </c>
      <c r="D612" t="s">
        <v>111</v>
      </c>
      <c r="E612" t="s">
        <v>13</v>
      </c>
      <c r="F612">
        <v>0.78400000000000003</v>
      </c>
      <c r="G612" t="s">
        <v>14</v>
      </c>
    </row>
    <row r="613" spans="1:7" x14ac:dyDescent="0.25">
      <c r="A613">
        <v>51</v>
      </c>
      <c r="B613" t="s">
        <v>213</v>
      </c>
      <c r="C613">
        <v>120</v>
      </c>
      <c r="D613" t="s">
        <v>214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215</v>
      </c>
      <c r="C614">
        <v>10</v>
      </c>
      <c r="D614" t="s">
        <v>314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215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215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215</v>
      </c>
      <c r="C617">
        <v>40</v>
      </c>
      <c r="D617" t="s">
        <v>105</v>
      </c>
      <c r="E617" t="s">
        <v>106</v>
      </c>
      <c r="F617">
        <v>0.442</v>
      </c>
      <c r="G617" t="s">
        <v>14</v>
      </c>
    </row>
    <row r="618" spans="1:7" x14ac:dyDescent="0.25">
      <c r="A618">
        <v>52</v>
      </c>
      <c r="B618" t="s">
        <v>215</v>
      </c>
      <c r="C618">
        <v>50</v>
      </c>
      <c r="D618" t="s">
        <v>107</v>
      </c>
      <c r="E618" t="s">
        <v>15</v>
      </c>
      <c r="F618">
        <v>21.184000000000001</v>
      </c>
      <c r="G618" t="s">
        <v>14</v>
      </c>
    </row>
    <row r="619" spans="1:7" x14ac:dyDescent="0.25">
      <c r="A619">
        <v>52</v>
      </c>
      <c r="B619" t="s">
        <v>215</v>
      </c>
      <c r="C619">
        <v>60</v>
      </c>
      <c r="D619" t="s">
        <v>18</v>
      </c>
      <c r="E619" t="s">
        <v>15</v>
      </c>
      <c r="F619">
        <v>130.279</v>
      </c>
      <c r="G619" t="s">
        <v>14</v>
      </c>
    </row>
    <row r="620" spans="1:7" x14ac:dyDescent="0.25">
      <c r="A620">
        <v>52</v>
      </c>
      <c r="B620" t="s">
        <v>215</v>
      </c>
      <c r="C620">
        <v>70</v>
      </c>
      <c r="D620" t="s">
        <v>113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215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215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215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215</v>
      </c>
      <c r="C624">
        <v>110</v>
      </c>
      <c r="D624" t="s">
        <v>111</v>
      </c>
      <c r="E624" t="s">
        <v>13</v>
      </c>
      <c r="F624">
        <v>0.94599999999999995</v>
      </c>
      <c r="G624" t="s">
        <v>14</v>
      </c>
    </row>
    <row r="625" spans="1:7" x14ac:dyDescent="0.25">
      <c r="A625">
        <v>52</v>
      </c>
      <c r="B625" t="s">
        <v>215</v>
      </c>
      <c r="C625">
        <v>120</v>
      </c>
      <c r="D625" t="s">
        <v>216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217</v>
      </c>
      <c r="C626">
        <v>10</v>
      </c>
      <c r="D626" t="s">
        <v>315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217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217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217</v>
      </c>
      <c r="C629">
        <v>40</v>
      </c>
      <c r="D629" t="s">
        <v>105</v>
      </c>
      <c r="E629" t="s">
        <v>106</v>
      </c>
      <c r="F629">
        <v>0.48699999999999999</v>
      </c>
      <c r="G629" t="s">
        <v>14</v>
      </c>
    </row>
    <row r="630" spans="1:7" x14ac:dyDescent="0.25">
      <c r="A630">
        <v>53</v>
      </c>
      <c r="B630" t="s">
        <v>217</v>
      </c>
      <c r="C630">
        <v>50</v>
      </c>
      <c r="D630" t="s">
        <v>107</v>
      </c>
      <c r="E630" t="s">
        <v>15</v>
      </c>
      <c r="F630">
        <v>22.097999999999999</v>
      </c>
      <c r="G630" t="s">
        <v>14</v>
      </c>
    </row>
    <row r="631" spans="1:7" x14ac:dyDescent="0.25">
      <c r="A631">
        <v>53</v>
      </c>
      <c r="B631" t="s">
        <v>217</v>
      </c>
      <c r="C631">
        <v>60</v>
      </c>
      <c r="D631" t="s">
        <v>18</v>
      </c>
      <c r="E631" t="s">
        <v>15</v>
      </c>
      <c r="F631">
        <v>135.90299999999999</v>
      </c>
      <c r="G631" t="s">
        <v>14</v>
      </c>
    </row>
    <row r="632" spans="1:7" x14ac:dyDescent="0.25">
      <c r="A632">
        <v>53</v>
      </c>
      <c r="B632" t="s">
        <v>217</v>
      </c>
      <c r="C632">
        <v>70</v>
      </c>
      <c r="D632" t="s">
        <v>113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217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217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217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217</v>
      </c>
      <c r="C636">
        <v>110</v>
      </c>
      <c r="D636" t="s">
        <v>111</v>
      </c>
      <c r="E636" t="s">
        <v>13</v>
      </c>
      <c r="F636">
        <v>1.0269999999999999</v>
      </c>
      <c r="G636" t="s">
        <v>14</v>
      </c>
    </row>
    <row r="637" spans="1:7" x14ac:dyDescent="0.25">
      <c r="A637">
        <v>53</v>
      </c>
      <c r="B637" t="s">
        <v>217</v>
      </c>
      <c r="C637">
        <v>120</v>
      </c>
      <c r="D637" t="s">
        <v>218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219</v>
      </c>
      <c r="C638">
        <v>10</v>
      </c>
      <c r="D638" t="s">
        <v>316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219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219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219</v>
      </c>
      <c r="C641">
        <v>40</v>
      </c>
      <c r="D641" t="s">
        <v>105</v>
      </c>
      <c r="E641" t="s">
        <v>106</v>
      </c>
      <c r="F641">
        <v>0.53200000000000003</v>
      </c>
      <c r="G641" t="s">
        <v>14</v>
      </c>
    </row>
    <row r="642" spans="1:7" x14ac:dyDescent="0.25">
      <c r="A642">
        <v>54</v>
      </c>
      <c r="B642" t="s">
        <v>219</v>
      </c>
      <c r="C642">
        <v>50</v>
      </c>
      <c r="D642" t="s">
        <v>107</v>
      </c>
      <c r="E642" t="s">
        <v>15</v>
      </c>
      <c r="F642">
        <v>23.012</v>
      </c>
      <c r="G642" t="s">
        <v>14</v>
      </c>
    </row>
    <row r="643" spans="1:7" x14ac:dyDescent="0.25">
      <c r="A643">
        <v>54</v>
      </c>
      <c r="B643" t="s">
        <v>219</v>
      </c>
      <c r="C643">
        <v>60</v>
      </c>
      <c r="D643" t="s">
        <v>18</v>
      </c>
      <c r="E643" t="s">
        <v>15</v>
      </c>
      <c r="F643">
        <v>141.52600000000001</v>
      </c>
      <c r="G643" t="s">
        <v>14</v>
      </c>
    </row>
    <row r="644" spans="1:7" x14ac:dyDescent="0.25">
      <c r="A644">
        <v>54</v>
      </c>
      <c r="B644" t="s">
        <v>219</v>
      </c>
      <c r="C644">
        <v>70</v>
      </c>
      <c r="D644" t="s">
        <v>113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219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219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219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219</v>
      </c>
      <c r="C648">
        <v>110</v>
      </c>
      <c r="D648" t="s">
        <v>111</v>
      </c>
      <c r="E648" t="s">
        <v>13</v>
      </c>
      <c r="F648">
        <v>1.1080000000000001</v>
      </c>
      <c r="G648" t="s">
        <v>14</v>
      </c>
    </row>
    <row r="649" spans="1:7" x14ac:dyDescent="0.25">
      <c r="A649">
        <v>54</v>
      </c>
      <c r="B649" t="s">
        <v>219</v>
      </c>
      <c r="C649">
        <v>120</v>
      </c>
      <c r="D649" t="s">
        <v>220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221</v>
      </c>
      <c r="C650">
        <v>10</v>
      </c>
      <c r="D650" t="s">
        <v>317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221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221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221</v>
      </c>
      <c r="C653">
        <v>40</v>
      </c>
      <c r="D653" t="s">
        <v>105</v>
      </c>
      <c r="E653" t="s">
        <v>106</v>
      </c>
      <c r="F653">
        <v>0.22600000000000001</v>
      </c>
      <c r="G653" t="s">
        <v>14</v>
      </c>
    </row>
    <row r="654" spans="1:7" x14ac:dyDescent="0.25">
      <c r="A654">
        <v>55</v>
      </c>
      <c r="B654" t="s">
        <v>221</v>
      </c>
      <c r="C654">
        <v>50</v>
      </c>
      <c r="D654" t="s">
        <v>107</v>
      </c>
      <c r="E654" t="s">
        <v>15</v>
      </c>
      <c r="F654">
        <v>17.068999999999999</v>
      </c>
      <c r="G654" t="s">
        <v>14</v>
      </c>
    </row>
    <row r="655" spans="1:7" x14ac:dyDescent="0.25">
      <c r="A655">
        <v>55</v>
      </c>
      <c r="B655" t="s">
        <v>221</v>
      </c>
      <c r="C655">
        <v>60</v>
      </c>
      <c r="D655" t="s">
        <v>18</v>
      </c>
      <c r="E655" t="s">
        <v>15</v>
      </c>
      <c r="F655">
        <v>104.973</v>
      </c>
      <c r="G655" t="s">
        <v>14</v>
      </c>
    </row>
    <row r="656" spans="1:7" x14ac:dyDescent="0.25">
      <c r="A656">
        <v>55</v>
      </c>
      <c r="B656" t="s">
        <v>221</v>
      </c>
      <c r="C656">
        <v>70</v>
      </c>
      <c r="D656" t="s">
        <v>113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221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221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221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221</v>
      </c>
      <c r="C660">
        <v>110</v>
      </c>
      <c r="D660" t="s">
        <v>111</v>
      </c>
      <c r="E660" t="s">
        <v>13</v>
      </c>
      <c r="F660">
        <v>0.54</v>
      </c>
      <c r="G660" t="s">
        <v>14</v>
      </c>
    </row>
    <row r="661" spans="1:7" x14ac:dyDescent="0.25">
      <c r="A661">
        <v>55</v>
      </c>
      <c r="B661" t="s">
        <v>221</v>
      </c>
      <c r="C661">
        <v>120</v>
      </c>
      <c r="D661" t="s">
        <v>222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223</v>
      </c>
      <c r="C662">
        <v>10</v>
      </c>
      <c r="D662" t="s">
        <v>318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223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223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223</v>
      </c>
      <c r="C665">
        <v>40</v>
      </c>
      <c r="D665" t="s">
        <v>105</v>
      </c>
      <c r="E665" t="s">
        <v>106</v>
      </c>
      <c r="F665">
        <v>0.27300000000000002</v>
      </c>
      <c r="G665" t="s">
        <v>14</v>
      </c>
    </row>
    <row r="666" spans="1:7" x14ac:dyDescent="0.25">
      <c r="A666">
        <v>56</v>
      </c>
      <c r="B666" t="s">
        <v>223</v>
      </c>
      <c r="C666">
        <v>50</v>
      </c>
      <c r="D666" t="s">
        <v>107</v>
      </c>
      <c r="E666" t="s">
        <v>15</v>
      </c>
      <c r="F666">
        <v>17.983000000000001</v>
      </c>
      <c r="G666" t="s">
        <v>14</v>
      </c>
    </row>
    <row r="667" spans="1:7" x14ac:dyDescent="0.25">
      <c r="A667">
        <v>56</v>
      </c>
      <c r="B667" t="s">
        <v>223</v>
      </c>
      <c r="C667">
        <v>60</v>
      </c>
      <c r="D667" t="s">
        <v>18</v>
      </c>
      <c r="E667" t="s">
        <v>15</v>
      </c>
      <c r="F667">
        <v>110.59699999999999</v>
      </c>
      <c r="G667" t="s">
        <v>14</v>
      </c>
    </row>
    <row r="668" spans="1:7" x14ac:dyDescent="0.25">
      <c r="A668">
        <v>56</v>
      </c>
      <c r="B668" t="s">
        <v>223</v>
      </c>
      <c r="C668">
        <v>70</v>
      </c>
      <c r="D668" t="s">
        <v>113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223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223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223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223</v>
      </c>
      <c r="C672">
        <v>110</v>
      </c>
      <c r="D672" t="s">
        <v>111</v>
      </c>
      <c r="E672" t="s">
        <v>13</v>
      </c>
      <c r="F672">
        <v>0.622</v>
      </c>
      <c r="G672" t="s">
        <v>14</v>
      </c>
    </row>
    <row r="673" spans="1:7" x14ac:dyDescent="0.25">
      <c r="A673">
        <v>56</v>
      </c>
      <c r="B673" t="s">
        <v>223</v>
      </c>
      <c r="C673">
        <v>120</v>
      </c>
      <c r="D673" t="s">
        <v>224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225</v>
      </c>
      <c r="C674">
        <v>10</v>
      </c>
      <c r="D674" t="s">
        <v>319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225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225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225</v>
      </c>
      <c r="C677">
        <v>40</v>
      </c>
      <c r="D677" t="s">
        <v>105</v>
      </c>
      <c r="E677" t="s">
        <v>106</v>
      </c>
      <c r="F677">
        <v>0.32</v>
      </c>
      <c r="G677" t="s">
        <v>14</v>
      </c>
    </row>
    <row r="678" spans="1:7" x14ac:dyDescent="0.25">
      <c r="A678">
        <v>57</v>
      </c>
      <c r="B678" t="s">
        <v>225</v>
      </c>
      <c r="C678">
        <v>50</v>
      </c>
      <c r="D678" t="s">
        <v>107</v>
      </c>
      <c r="E678" t="s">
        <v>15</v>
      </c>
      <c r="F678">
        <v>18.898</v>
      </c>
      <c r="G678" t="s">
        <v>14</v>
      </c>
    </row>
    <row r="679" spans="1:7" x14ac:dyDescent="0.25">
      <c r="A679">
        <v>57</v>
      </c>
      <c r="B679" t="s">
        <v>225</v>
      </c>
      <c r="C679">
        <v>60</v>
      </c>
      <c r="D679" t="s">
        <v>18</v>
      </c>
      <c r="E679" t="s">
        <v>15</v>
      </c>
      <c r="F679">
        <v>116.22</v>
      </c>
      <c r="G679" t="s">
        <v>14</v>
      </c>
    </row>
    <row r="680" spans="1:7" x14ac:dyDescent="0.25">
      <c r="A680">
        <v>57</v>
      </c>
      <c r="B680" t="s">
        <v>225</v>
      </c>
      <c r="C680">
        <v>70</v>
      </c>
      <c r="D680" t="s">
        <v>113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225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225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225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225</v>
      </c>
      <c r="C684">
        <v>110</v>
      </c>
      <c r="D684" t="s">
        <v>111</v>
      </c>
      <c r="E684" t="s">
        <v>13</v>
      </c>
      <c r="F684">
        <v>0.70299999999999996</v>
      </c>
      <c r="G684" t="s">
        <v>14</v>
      </c>
    </row>
    <row r="685" spans="1:7" x14ac:dyDescent="0.25">
      <c r="A685">
        <v>57</v>
      </c>
      <c r="B685" t="s">
        <v>225</v>
      </c>
      <c r="C685">
        <v>120</v>
      </c>
      <c r="D685" t="s">
        <v>226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227</v>
      </c>
      <c r="C686">
        <v>10</v>
      </c>
      <c r="D686" t="s">
        <v>320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227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227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227</v>
      </c>
      <c r="C689">
        <v>40</v>
      </c>
      <c r="D689" t="s">
        <v>105</v>
      </c>
      <c r="E689" t="s">
        <v>106</v>
      </c>
      <c r="F689">
        <v>0.36599999999999999</v>
      </c>
      <c r="G689" t="s">
        <v>14</v>
      </c>
    </row>
    <row r="690" spans="1:7" x14ac:dyDescent="0.25">
      <c r="A690">
        <v>58</v>
      </c>
      <c r="B690" t="s">
        <v>227</v>
      </c>
      <c r="C690">
        <v>50</v>
      </c>
      <c r="D690" t="s">
        <v>107</v>
      </c>
      <c r="E690" t="s">
        <v>15</v>
      </c>
      <c r="F690">
        <v>19.812000000000001</v>
      </c>
      <c r="G690" t="s">
        <v>14</v>
      </c>
    </row>
    <row r="691" spans="1:7" x14ac:dyDescent="0.25">
      <c r="A691">
        <v>58</v>
      </c>
      <c r="B691" t="s">
        <v>227</v>
      </c>
      <c r="C691">
        <v>60</v>
      </c>
      <c r="D691" t="s">
        <v>18</v>
      </c>
      <c r="E691" t="s">
        <v>15</v>
      </c>
      <c r="F691">
        <v>121.84399999999999</v>
      </c>
      <c r="G691" t="s">
        <v>14</v>
      </c>
    </row>
    <row r="692" spans="1:7" x14ac:dyDescent="0.25">
      <c r="A692">
        <v>58</v>
      </c>
      <c r="B692" t="s">
        <v>227</v>
      </c>
      <c r="C692">
        <v>70</v>
      </c>
      <c r="D692" t="s">
        <v>113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227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227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227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227</v>
      </c>
      <c r="C696">
        <v>110</v>
      </c>
      <c r="D696" t="s">
        <v>111</v>
      </c>
      <c r="E696" t="s">
        <v>13</v>
      </c>
      <c r="F696">
        <v>0.78400000000000003</v>
      </c>
      <c r="G696" t="s">
        <v>14</v>
      </c>
    </row>
    <row r="697" spans="1:7" x14ac:dyDescent="0.25">
      <c r="A697">
        <v>58</v>
      </c>
      <c r="B697" t="s">
        <v>227</v>
      </c>
      <c r="C697">
        <v>120</v>
      </c>
      <c r="D697" t="s">
        <v>228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229</v>
      </c>
      <c r="C698">
        <v>10</v>
      </c>
      <c r="D698" t="s">
        <v>321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229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229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229</v>
      </c>
      <c r="C701">
        <v>40</v>
      </c>
      <c r="D701" t="s">
        <v>105</v>
      </c>
      <c r="E701" t="s">
        <v>106</v>
      </c>
      <c r="F701">
        <v>0.46</v>
      </c>
      <c r="G701" t="s">
        <v>14</v>
      </c>
    </row>
    <row r="702" spans="1:7" x14ac:dyDescent="0.25">
      <c r="A702">
        <v>59</v>
      </c>
      <c r="B702" t="s">
        <v>229</v>
      </c>
      <c r="C702">
        <v>50</v>
      </c>
      <c r="D702" t="s">
        <v>107</v>
      </c>
      <c r="E702" t="s">
        <v>15</v>
      </c>
      <c r="F702">
        <v>21.640999999999998</v>
      </c>
      <c r="G702" t="s">
        <v>14</v>
      </c>
    </row>
    <row r="703" spans="1:7" x14ac:dyDescent="0.25">
      <c r="A703">
        <v>59</v>
      </c>
      <c r="B703" t="s">
        <v>229</v>
      </c>
      <c r="C703">
        <v>60</v>
      </c>
      <c r="D703" t="s">
        <v>18</v>
      </c>
      <c r="E703" t="s">
        <v>15</v>
      </c>
      <c r="F703">
        <v>133.09100000000001</v>
      </c>
      <c r="G703" t="s">
        <v>14</v>
      </c>
    </row>
    <row r="704" spans="1:7" x14ac:dyDescent="0.25">
      <c r="A704">
        <v>59</v>
      </c>
      <c r="B704" t="s">
        <v>229</v>
      </c>
      <c r="C704">
        <v>70</v>
      </c>
      <c r="D704" t="s">
        <v>113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229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229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229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229</v>
      </c>
      <c r="C708">
        <v>110</v>
      </c>
      <c r="D708" t="s">
        <v>111</v>
      </c>
      <c r="E708" t="s">
        <v>13</v>
      </c>
      <c r="F708">
        <v>0.94599999999999995</v>
      </c>
      <c r="G708" t="s">
        <v>14</v>
      </c>
    </row>
    <row r="709" spans="1:7" x14ac:dyDescent="0.25">
      <c r="A709">
        <v>59</v>
      </c>
      <c r="B709" t="s">
        <v>229</v>
      </c>
      <c r="C709">
        <v>120</v>
      </c>
      <c r="D709" t="s">
        <v>230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231</v>
      </c>
      <c r="C710">
        <v>10</v>
      </c>
      <c r="D710" t="s">
        <v>322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231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231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231</v>
      </c>
      <c r="C713">
        <v>40</v>
      </c>
      <c r="D713" t="s">
        <v>105</v>
      </c>
      <c r="E713" t="s">
        <v>106</v>
      </c>
      <c r="F713">
        <v>0.50700000000000001</v>
      </c>
      <c r="G713" t="s">
        <v>14</v>
      </c>
    </row>
    <row r="714" spans="1:7" x14ac:dyDescent="0.25">
      <c r="A714">
        <v>60</v>
      </c>
      <c r="B714" t="s">
        <v>231</v>
      </c>
      <c r="C714">
        <v>50</v>
      </c>
      <c r="D714" t="s">
        <v>107</v>
      </c>
      <c r="E714" t="s">
        <v>15</v>
      </c>
      <c r="F714">
        <v>22.555</v>
      </c>
      <c r="G714" t="s">
        <v>14</v>
      </c>
    </row>
    <row r="715" spans="1:7" x14ac:dyDescent="0.25">
      <c r="A715">
        <v>60</v>
      </c>
      <c r="B715" t="s">
        <v>231</v>
      </c>
      <c r="C715">
        <v>60</v>
      </c>
      <c r="D715" t="s">
        <v>18</v>
      </c>
      <c r="E715" t="s">
        <v>15</v>
      </c>
      <c r="F715">
        <v>138.714</v>
      </c>
      <c r="G715" t="s">
        <v>14</v>
      </c>
    </row>
    <row r="716" spans="1:7" x14ac:dyDescent="0.25">
      <c r="A716">
        <v>60</v>
      </c>
      <c r="B716" t="s">
        <v>231</v>
      </c>
      <c r="C716">
        <v>70</v>
      </c>
      <c r="D716" t="s">
        <v>113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231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231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231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231</v>
      </c>
      <c r="C720">
        <v>110</v>
      </c>
      <c r="D720" t="s">
        <v>111</v>
      </c>
      <c r="E720" t="s">
        <v>13</v>
      </c>
      <c r="F720">
        <v>1.0269999999999999</v>
      </c>
      <c r="G720" t="s">
        <v>14</v>
      </c>
    </row>
    <row r="721" spans="1:7" x14ac:dyDescent="0.25">
      <c r="A721">
        <v>60</v>
      </c>
      <c r="B721" t="s">
        <v>231</v>
      </c>
      <c r="C721">
        <v>120</v>
      </c>
      <c r="D721" t="s">
        <v>232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233</v>
      </c>
      <c r="C722">
        <v>10</v>
      </c>
      <c r="D722" t="s">
        <v>323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233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233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233</v>
      </c>
      <c r="C725">
        <v>40</v>
      </c>
      <c r="D725" t="s">
        <v>105</v>
      </c>
      <c r="E725" t="s">
        <v>106</v>
      </c>
      <c r="F725">
        <v>0.55400000000000005</v>
      </c>
      <c r="G725" t="s">
        <v>14</v>
      </c>
    </row>
    <row r="726" spans="1:7" x14ac:dyDescent="0.25">
      <c r="A726">
        <v>61</v>
      </c>
      <c r="B726" t="s">
        <v>233</v>
      </c>
      <c r="C726">
        <v>50</v>
      </c>
      <c r="D726" t="s">
        <v>107</v>
      </c>
      <c r="E726" t="s">
        <v>15</v>
      </c>
      <c r="F726">
        <v>23.47</v>
      </c>
      <c r="G726" t="s">
        <v>14</v>
      </c>
    </row>
    <row r="727" spans="1:7" x14ac:dyDescent="0.25">
      <c r="A727">
        <v>61</v>
      </c>
      <c r="B727" t="s">
        <v>233</v>
      </c>
      <c r="C727">
        <v>60</v>
      </c>
      <c r="D727" t="s">
        <v>18</v>
      </c>
      <c r="E727" t="s">
        <v>15</v>
      </c>
      <c r="F727">
        <v>144.33799999999999</v>
      </c>
      <c r="G727" t="s">
        <v>14</v>
      </c>
    </row>
    <row r="728" spans="1:7" x14ac:dyDescent="0.25">
      <c r="A728">
        <v>61</v>
      </c>
      <c r="B728" t="s">
        <v>233</v>
      </c>
      <c r="C728">
        <v>70</v>
      </c>
      <c r="D728" t="s">
        <v>113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233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233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233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233</v>
      </c>
      <c r="C732">
        <v>110</v>
      </c>
      <c r="D732" t="s">
        <v>111</v>
      </c>
      <c r="E732" t="s">
        <v>13</v>
      </c>
      <c r="F732">
        <v>1.1080000000000001</v>
      </c>
      <c r="G732" t="s">
        <v>14</v>
      </c>
    </row>
    <row r="733" spans="1:7" x14ac:dyDescent="0.25">
      <c r="A733">
        <v>61</v>
      </c>
      <c r="B733" t="s">
        <v>233</v>
      </c>
      <c r="C733">
        <v>120</v>
      </c>
      <c r="D733" t="s">
        <v>234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235</v>
      </c>
      <c r="C734">
        <v>10</v>
      </c>
      <c r="D734" t="s">
        <v>324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235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235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235</v>
      </c>
      <c r="C737">
        <v>40</v>
      </c>
      <c r="D737" t="s">
        <v>105</v>
      </c>
      <c r="E737" t="s">
        <v>106</v>
      </c>
      <c r="F737">
        <v>0.23200000000000001</v>
      </c>
      <c r="G737" t="s">
        <v>14</v>
      </c>
    </row>
    <row r="738" spans="1:7" x14ac:dyDescent="0.25">
      <c r="A738">
        <v>62</v>
      </c>
      <c r="B738" t="s">
        <v>235</v>
      </c>
      <c r="C738">
        <v>50</v>
      </c>
      <c r="D738" t="s">
        <v>107</v>
      </c>
      <c r="E738" t="s">
        <v>15</v>
      </c>
      <c r="F738">
        <v>17.373999999999999</v>
      </c>
      <c r="G738" t="s">
        <v>14</v>
      </c>
    </row>
    <row r="739" spans="1:7" x14ac:dyDescent="0.25">
      <c r="A739">
        <v>62</v>
      </c>
      <c r="B739" t="s">
        <v>235</v>
      </c>
      <c r="C739">
        <v>60</v>
      </c>
      <c r="D739" t="s">
        <v>18</v>
      </c>
      <c r="E739" t="s">
        <v>15</v>
      </c>
      <c r="F739">
        <v>106.848</v>
      </c>
      <c r="G739" t="s">
        <v>14</v>
      </c>
    </row>
    <row r="740" spans="1:7" x14ac:dyDescent="0.25">
      <c r="A740">
        <v>62</v>
      </c>
      <c r="B740" t="s">
        <v>235</v>
      </c>
      <c r="C740">
        <v>70</v>
      </c>
      <c r="D740" t="s">
        <v>113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235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235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235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235</v>
      </c>
      <c r="C744">
        <v>110</v>
      </c>
      <c r="D744" t="s">
        <v>111</v>
      </c>
      <c r="E744" t="s">
        <v>13</v>
      </c>
      <c r="F744">
        <v>1.216</v>
      </c>
      <c r="G744" t="s">
        <v>14</v>
      </c>
    </row>
    <row r="745" spans="1:7" x14ac:dyDescent="0.25">
      <c r="A745">
        <v>62</v>
      </c>
      <c r="B745" t="s">
        <v>235</v>
      </c>
      <c r="C745">
        <v>120</v>
      </c>
      <c r="D745" t="s">
        <v>236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237</v>
      </c>
      <c r="C746">
        <v>10</v>
      </c>
      <c r="D746" t="s">
        <v>325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237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237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237</v>
      </c>
      <c r="C749">
        <v>40</v>
      </c>
      <c r="D749" t="s">
        <v>105</v>
      </c>
      <c r="E749" t="s">
        <v>106</v>
      </c>
      <c r="F749">
        <v>0.28000000000000003</v>
      </c>
      <c r="G749" t="s">
        <v>14</v>
      </c>
    </row>
    <row r="750" spans="1:7" x14ac:dyDescent="0.25">
      <c r="A750">
        <v>63</v>
      </c>
      <c r="B750" t="s">
        <v>237</v>
      </c>
      <c r="C750">
        <v>50</v>
      </c>
      <c r="D750" t="s">
        <v>107</v>
      </c>
      <c r="E750" t="s">
        <v>15</v>
      </c>
      <c r="F750">
        <v>18.288</v>
      </c>
      <c r="G750" t="s">
        <v>14</v>
      </c>
    </row>
    <row r="751" spans="1:7" x14ac:dyDescent="0.25">
      <c r="A751">
        <v>63</v>
      </c>
      <c r="B751" t="s">
        <v>237</v>
      </c>
      <c r="C751">
        <v>60</v>
      </c>
      <c r="D751" t="s">
        <v>18</v>
      </c>
      <c r="E751" t="s">
        <v>15</v>
      </c>
      <c r="F751">
        <v>112.471</v>
      </c>
      <c r="G751" t="s">
        <v>14</v>
      </c>
    </row>
    <row r="752" spans="1:7" x14ac:dyDescent="0.25">
      <c r="A752">
        <v>63</v>
      </c>
      <c r="B752" t="s">
        <v>237</v>
      </c>
      <c r="C752">
        <v>70</v>
      </c>
      <c r="D752" t="s">
        <v>113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237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237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237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237</v>
      </c>
      <c r="C756">
        <v>110</v>
      </c>
      <c r="D756" t="s">
        <v>111</v>
      </c>
      <c r="E756" t="s">
        <v>13</v>
      </c>
      <c r="F756">
        <v>1.216</v>
      </c>
      <c r="G756" t="s">
        <v>14</v>
      </c>
    </row>
    <row r="757" spans="1:7" x14ac:dyDescent="0.25">
      <c r="A757">
        <v>63</v>
      </c>
      <c r="B757" t="s">
        <v>237</v>
      </c>
      <c r="C757">
        <v>120</v>
      </c>
      <c r="D757" t="s">
        <v>238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239</v>
      </c>
      <c r="C758">
        <v>10</v>
      </c>
      <c r="D758" t="s">
        <v>326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239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239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239</v>
      </c>
      <c r="C761">
        <v>40</v>
      </c>
      <c r="D761" t="s">
        <v>105</v>
      </c>
      <c r="E761" t="s">
        <v>106</v>
      </c>
      <c r="F761">
        <v>0.32800000000000001</v>
      </c>
      <c r="G761" t="s">
        <v>14</v>
      </c>
    </row>
    <row r="762" spans="1:7" x14ac:dyDescent="0.25">
      <c r="A762">
        <v>64</v>
      </c>
      <c r="B762" t="s">
        <v>239</v>
      </c>
      <c r="C762">
        <v>50</v>
      </c>
      <c r="D762" t="s">
        <v>107</v>
      </c>
      <c r="E762" t="s">
        <v>15</v>
      </c>
      <c r="F762">
        <v>19.202000000000002</v>
      </c>
      <c r="G762" t="s">
        <v>14</v>
      </c>
    </row>
    <row r="763" spans="1:7" x14ac:dyDescent="0.25">
      <c r="A763">
        <v>64</v>
      </c>
      <c r="B763" t="s">
        <v>239</v>
      </c>
      <c r="C763">
        <v>60</v>
      </c>
      <c r="D763" t="s">
        <v>18</v>
      </c>
      <c r="E763" t="s">
        <v>15</v>
      </c>
      <c r="F763">
        <v>118.095</v>
      </c>
      <c r="G763" t="s">
        <v>14</v>
      </c>
    </row>
    <row r="764" spans="1:7" x14ac:dyDescent="0.25">
      <c r="A764">
        <v>64</v>
      </c>
      <c r="B764" t="s">
        <v>239</v>
      </c>
      <c r="C764">
        <v>70</v>
      </c>
      <c r="D764" t="s">
        <v>113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239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239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239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239</v>
      </c>
      <c r="C768">
        <v>110</v>
      </c>
      <c r="D768" t="s">
        <v>111</v>
      </c>
      <c r="E768" t="s">
        <v>13</v>
      </c>
      <c r="F768">
        <v>1.216</v>
      </c>
      <c r="G768" t="s">
        <v>14</v>
      </c>
    </row>
    <row r="769" spans="1:7" x14ac:dyDescent="0.25">
      <c r="A769">
        <v>64</v>
      </c>
      <c r="B769" t="s">
        <v>239</v>
      </c>
      <c r="C769">
        <v>120</v>
      </c>
      <c r="D769" t="s">
        <v>240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241</v>
      </c>
      <c r="C770">
        <v>10</v>
      </c>
      <c r="D770" t="s">
        <v>327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241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241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241</v>
      </c>
      <c r="C773">
        <v>40</v>
      </c>
      <c r="D773" t="s">
        <v>105</v>
      </c>
      <c r="E773" t="s">
        <v>106</v>
      </c>
      <c r="F773">
        <v>0.376</v>
      </c>
      <c r="G773" t="s">
        <v>14</v>
      </c>
    </row>
    <row r="774" spans="1:7" x14ac:dyDescent="0.25">
      <c r="A774">
        <v>65</v>
      </c>
      <c r="B774" t="s">
        <v>241</v>
      </c>
      <c r="C774">
        <v>50</v>
      </c>
      <c r="D774" t="s">
        <v>107</v>
      </c>
      <c r="E774" t="s">
        <v>15</v>
      </c>
      <c r="F774">
        <v>20.117000000000001</v>
      </c>
      <c r="G774" t="s">
        <v>14</v>
      </c>
    </row>
    <row r="775" spans="1:7" x14ac:dyDescent="0.25">
      <c r="A775">
        <v>65</v>
      </c>
      <c r="B775" t="s">
        <v>241</v>
      </c>
      <c r="C775">
        <v>60</v>
      </c>
      <c r="D775" t="s">
        <v>18</v>
      </c>
      <c r="E775" t="s">
        <v>15</v>
      </c>
      <c r="F775">
        <v>123.718</v>
      </c>
      <c r="G775" t="s">
        <v>14</v>
      </c>
    </row>
    <row r="776" spans="1:7" x14ac:dyDescent="0.25">
      <c r="A776">
        <v>65</v>
      </c>
      <c r="B776" t="s">
        <v>241</v>
      </c>
      <c r="C776">
        <v>70</v>
      </c>
      <c r="D776" t="s">
        <v>113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241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241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241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241</v>
      </c>
      <c r="C780">
        <v>110</v>
      </c>
      <c r="D780" t="s">
        <v>111</v>
      </c>
      <c r="E780" t="s">
        <v>13</v>
      </c>
      <c r="F780">
        <v>1.216</v>
      </c>
      <c r="G780" t="s">
        <v>14</v>
      </c>
    </row>
    <row r="781" spans="1:7" x14ac:dyDescent="0.25">
      <c r="A781">
        <v>65</v>
      </c>
      <c r="B781" t="s">
        <v>241</v>
      </c>
      <c r="C781">
        <v>120</v>
      </c>
      <c r="D781" t="s">
        <v>242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243</v>
      </c>
      <c r="C782">
        <v>10</v>
      </c>
      <c r="D782" t="s">
        <v>328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243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243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243</v>
      </c>
      <c r="C785">
        <v>40</v>
      </c>
      <c r="D785" t="s">
        <v>105</v>
      </c>
      <c r="E785" t="s">
        <v>106</v>
      </c>
      <c r="F785">
        <v>0.47199999999999998</v>
      </c>
      <c r="G785" t="s">
        <v>14</v>
      </c>
    </row>
    <row r="786" spans="1:7" x14ac:dyDescent="0.25">
      <c r="A786">
        <v>66</v>
      </c>
      <c r="B786" t="s">
        <v>243</v>
      </c>
      <c r="C786">
        <v>50</v>
      </c>
      <c r="D786" t="s">
        <v>107</v>
      </c>
      <c r="E786" t="s">
        <v>15</v>
      </c>
      <c r="F786">
        <v>21.946000000000002</v>
      </c>
      <c r="G786" t="s">
        <v>14</v>
      </c>
    </row>
    <row r="787" spans="1:7" x14ac:dyDescent="0.25">
      <c r="A787">
        <v>66</v>
      </c>
      <c r="B787" t="s">
        <v>243</v>
      </c>
      <c r="C787">
        <v>60</v>
      </c>
      <c r="D787" t="s">
        <v>18</v>
      </c>
      <c r="E787" t="s">
        <v>15</v>
      </c>
      <c r="F787">
        <v>134.965</v>
      </c>
      <c r="G787" t="s">
        <v>14</v>
      </c>
    </row>
    <row r="788" spans="1:7" x14ac:dyDescent="0.25">
      <c r="A788">
        <v>66</v>
      </c>
      <c r="B788" t="s">
        <v>243</v>
      </c>
      <c r="C788">
        <v>70</v>
      </c>
      <c r="D788" t="s">
        <v>113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243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243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243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243</v>
      </c>
      <c r="C792">
        <v>110</v>
      </c>
      <c r="D792" t="s">
        <v>111</v>
      </c>
      <c r="E792" t="s">
        <v>13</v>
      </c>
      <c r="F792">
        <v>1.216</v>
      </c>
      <c r="G792" t="s">
        <v>14</v>
      </c>
    </row>
    <row r="793" spans="1:7" x14ac:dyDescent="0.25">
      <c r="A793">
        <v>66</v>
      </c>
      <c r="B793" t="s">
        <v>243</v>
      </c>
      <c r="C793">
        <v>120</v>
      </c>
      <c r="D793" t="s">
        <v>244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245</v>
      </c>
      <c r="C794">
        <v>10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245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245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245</v>
      </c>
      <c r="C797">
        <v>40</v>
      </c>
      <c r="D797" t="s">
        <v>105</v>
      </c>
      <c r="E797" t="s">
        <v>106</v>
      </c>
      <c r="F797">
        <v>0.52</v>
      </c>
      <c r="G797" t="s">
        <v>14</v>
      </c>
    </row>
    <row r="798" spans="1:7" x14ac:dyDescent="0.25">
      <c r="A798">
        <v>67</v>
      </c>
      <c r="B798" t="s">
        <v>245</v>
      </c>
      <c r="C798">
        <v>50</v>
      </c>
      <c r="D798" t="s">
        <v>107</v>
      </c>
      <c r="E798" t="s">
        <v>15</v>
      </c>
      <c r="F798">
        <v>22.86</v>
      </c>
      <c r="G798" t="s">
        <v>14</v>
      </c>
    </row>
    <row r="799" spans="1:7" x14ac:dyDescent="0.25">
      <c r="A799">
        <v>67</v>
      </c>
      <c r="B799" t="s">
        <v>245</v>
      </c>
      <c r="C799">
        <v>60</v>
      </c>
      <c r="D799" t="s">
        <v>18</v>
      </c>
      <c r="E799" t="s">
        <v>15</v>
      </c>
      <c r="F799">
        <v>140.589</v>
      </c>
      <c r="G799" t="s">
        <v>14</v>
      </c>
    </row>
    <row r="800" spans="1:7" x14ac:dyDescent="0.25">
      <c r="A800">
        <v>67</v>
      </c>
      <c r="B800" t="s">
        <v>245</v>
      </c>
      <c r="C800">
        <v>70</v>
      </c>
      <c r="D800" t="s">
        <v>113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245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245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245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245</v>
      </c>
      <c r="C804">
        <v>110</v>
      </c>
      <c r="D804" t="s">
        <v>111</v>
      </c>
      <c r="E804" t="s">
        <v>13</v>
      </c>
      <c r="F804">
        <v>1.216</v>
      </c>
      <c r="G804" t="s">
        <v>14</v>
      </c>
    </row>
    <row r="805" spans="1:7" x14ac:dyDescent="0.25">
      <c r="A805">
        <v>67</v>
      </c>
      <c r="B805" t="s">
        <v>245</v>
      </c>
      <c r="C805">
        <v>120</v>
      </c>
      <c r="D805" t="s">
        <v>246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247</v>
      </c>
      <c r="C806">
        <v>10</v>
      </c>
      <c r="D806" t="s">
        <v>330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247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247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247</v>
      </c>
      <c r="C809">
        <v>40</v>
      </c>
      <c r="D809" t="s">
        <v>105</v>
      </c>
      <c r="E809" t="s">
        <v>106</v>
      </c>
      <c r="F809">
        <v>0.56799999999999995</v>
      </c>
      <c r="G809" t="s">
        <v>14</v>
      </c>
    </row>
    <row r="810" spans="1:7" x14ac:dyDescent="0.25">
      <c r="A810">
        <v>68</v>
      </c>
      <c r="B810" t="s">
        <v>247</v>
      </c>
      <c r="C810">
        <v>50</v>
      </c>
      <c r="D810" t="s">
        <v>107</v>
      </c>
      <c r="E810" t="s">
        <v>15</v>
      </c>
      <c r="F810">
        <v>23.774000000000001</v>
      </c>
      <c r="G810" t="s">
        <v>14</v>
      </c>
    </row>
    <row r="811" spans="1:7" x14ac:dyDescent="0.25">
      <c r="A811">
        <v>68</v>
      </c>
      <c r="B811" t="s">
        <v>247</v>
      </c>
      <c r="C811">
        <v>60</v>
      </c>
      <c r="D811" t="s">
        <v>18</v>
      </c>
      <c r="E811" t="s">
        <v>15</v>
      </c>
      <c r="F811">
        <v>146.21299999999999</v>
      </c>
      <c r="G811" t="s">
        <v>14</v>
      </c>
    </row>
    <row r="812" spans="1:7" x14ac:dyDescent="0.25">
      <c r="A812">
        <v>68</v>
      </c>
      <c r="B812" t="s">
        <v>247</v>
      </c>
      <c r="C812">
        <v>70</v>
      </c>
      <c r="D812" t="s">
        <v>113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247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247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247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247</v>
      </c>
      <c r="C816">
        <v>110</v>
      </c>
      <c r="D816" t="s">
        <v>111</v>
      </c>
      <c r="E816" t="s">
        <v>13</v>
      </c>
      <c r="F816">
        <v>1.216</v>
      </c>
      <c r="G816" t="s">
        <v>14</v>
      </c>
    </row>
    <row r="817" spans="1:7" x14ac:dyDescent="0.25">
      <c r="A817">
        <v>68</v>
      </c>
      <c r="B817" t="s">
        <v>247</v>
      </c>
      <c r="C817">
        <v>120</v>
      </c>
      <c r="D817" t="s">
        <v>248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249</v>
      </c>
      <c r="C818">
        <v>10</v>
      </c>
      <c r="D818" t="s">
        <v>331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249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249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249</v>
      </c>
      <c r="C821">
        <v>40</v>
      </c>
      <c r="D821" t="s">
        <v>105</v>
      </c>
      <c r="E821" t="s">
        <v>106</v>
      </c>
      <c r="F821">
        <v>0.24399999999999999</v>
      </c>
      <c r="G821" t="s">
        <v>14</v>
      </c>
    </row>
    <row r="822" spans="1:7" x14ac:dyDescent="0.25">
      <c r="A822">
        <v>69</v>
      </c>
      <c r="B822" t="s">
        <v>249</v>
      </c>
      <c r="C822">
        <v>50</v>
      </c>
      <c r="D822" t="s">
        <v>107</v>
      </c>
      <c r="E822" t="s">
        <v>15</v>
      </c>
      <c r="F822">
        <v>17.983000000000001</v>
      </c>
      <c r="G822" t="s">
        <v>14</v>
      </c>
    </row>
    <row r="823" spans="1:7" x14ac:dyDescent="0.25">
      <c r="A823">
        <v>69</v>
      </c>
      <c r="B823" t="s">
        <v>249</v>
      </c>
      <c r="C823">
        <v>60</v>
      </c>
      <c r="D823" t="s">
        <v>18</v>
      </c>
      <c r="E823" t="s">
        <v>15</v>
      </c>
      <c r="F823">
        <v>110.59699999999999</v>
      </c>
      <c r="G823" t="s">
        <v>14</v>
      </c>
    </row>
    <row r="824" spans="1:7" x14ac:dyDescent="0.25">
      <c r="A824">
        <v>69</v>
      </c>
      <c r="B824" t="s">
        <v>249</v>
      </c>
      <c r="C824">
        <v>70</v>
      </c>
      <c r="D824" t="s">
        <v>113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249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249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249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249</v>
      </c>
      <c r="C828">
        <v>110</v>
      </c>
      <c r="D828" t="s">
        <v>111</v>
      </c>
      <c r="E828" t="s">
        <v>13</v>
      </c>
      <c r="F828">
        <v>1.27</v>
      </c>
      <c r="G828" t="s">
        <v>14</v>
      </c>
    </row>
    <row r="829" spans="1:7" x14ac:dyDescent="0.25">
      <c r="A829">
        <v>69</v>
      </c>
      <c r="B829" t="s">
        <v>249</v>
      </c>
      <c r="C829">
        <v>120</v>
      </c>
      <c r="D829" t="s">
        <v>250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251</v>
      </c>
      <c r="C830">
        <v>10</v>
      </c>
      <c r="D830" t="s">
        <v>332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251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251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251</v>
      </c>
      <c r="C833">
        <v>40</v>
      </c>
      <c r="D833" t="s">
        <v>105</v>
      </c>
      <c r="E833" t="s">
        <v>106</v>
      </c>
      <c r="F833">
        <v>0.29399999999999998</v>
      </c>
      <c r="G833" t="s">
        <v>14</v>
      </c>
    </row>
    <row r="834" spans="1:7" x14ac:dyDescent="0.25">
      <c r="A834">
        <v>70</v>
      </c>
      <c r="B834" t="s">
        <v>251</v>
      </c>
      <c r="C834">
        <v>50</v>
      </c>
      <c r="D834" t="s">
        <v>107</v>
      </c>
      <c r="E834" t="s">
        <v>15</v>
      </c>
      <c r="F834">
        <v>18.898</v>
      </c>
      <c r="G834" t="s">
        <v>14</v>
      </c>
    </row>
    <row r="835" spans="1:7" x14ac:dyDescent="0.25">
      <c r="A835">
        <v>70</v>
      </c>
      <c r="B835" t="s">
        <v>251</v>
      </c>
      <c r="C835">
        <v>60</v>
      </c>
      <c r="D835" t="s">
        <v>18</v>
      </c>
      <c r="E835" t="s">
        <v>15</v>
      </c>
      <c r="F835">
        <v>116.22</v>
      </c>
      <c r="G835" t="s">
        <v>14</v>
      </c>
    </row>
    <row r="836" spans="1:7" x14ac:dyDescent="0.25">
      <c r="A836">
        <v>70</v>
      </c>
      <c r="B836" t="s">
        <v>251</v>
      </c>
      <c r="C836">
        <v>70</v>
      </c>
      <c r="D836" t="s">
        <v>113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251</v>
      </c>
      <c r="C840">
        <v>110</v>
      </c>
      <c r="D840" t="s">
        <v>111</v>
      </c>
      <c r="E840" t="s">
        <v>13</v>
      </c>
      <c r="F840">
        <v>1.27</v>
      </c>
      <c r="G840" t="s">
        <v>14</v>
      </c>
    </row>
    <row r="841" spans="1:7" x14ac:dyDescent="0.25">
      <c r="A841">
        <v>70</v>
      </c>
      <c r="B841" t="s">
        <v>251</v>
      </c>
      <c r="C841">
        <v>120</v>
      </c>
      <c r="D841" t="s">
        <v>252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253</v>
      </c>
      <c r="C842">
        <v>10</v>
      </c>
      <c r="D842" t="s">
        <v>333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253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253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253</v>
      </c>
      <c r="C845">
        <v>40</v>
      </c>
      <c r="D845" t="s">
        <v>105</v>
      </c>
      <c r="E845" t="s">
        <v>106</v>
      </c>
      <c r="F845">
        <v>0.34499999999999997</v>
      </c>
      <c r="G845" t="s">
        <v>14</v>
      </c>
    </row>
    <row r="846" spans="1:7" x14ac:dyDescent="0.25">
      <c r="A846">
        <v>71</v>
      </c>
      <c r="B846" t="s">
        <v>253</v>
      </c>
      <c r="C846">
        <v>50</v>
      </c>
      <c r="D846" t="s">
        <v>107</v>
      </c>
      <c r="E846" t="s">
        <v>15</v>
      </c>
      <c r="F846">
        <v>19.812000000000001</v>
      </c>
      <c r="G846" t="s">
        <v>14</v>
      </c>
    </row>
    <row r="847" spans="1:7" x14ac:dyDescent="0.25">
      <c r="A847">
        <v>71</v>
      </c>
      <c r="B847" t="s">
        <v>253</v>
      </c>
      <c r="C847">
        <v>60</v>
      </c>
      <c r="D847" t="s">
        <v>18</v>
      </c>
      <c r="E847" t="s">
        <v>15</v>
      </c>
      <c r="F847">
        <v>121.84399999999999</v>
      </c>
      <c r="G847" t="s">
        <v>14</v>
      </c>
    </row>
    <row r="848" spans="1:7" x14ac:dyDescent="0.25">
      <c r="A848">
        <v>71</v>
      </c>
      <c r="B848" t="s">
        <v>253</v>
      </c>
      <c r="C848">
        <v>70</v>
      </c>
      <c r="D848" t="s">
        <v>113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253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253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253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253</v>
      </c>
      <c r="C852">
        <v>110</v>
      </c>
      <c r="D852" t="s">
        <v>111</v>
      </c>
      <c r="E852" t="s">
        <v>13</v>
      </c>
      <c r="F852">
        <v>1.27</v>
      </c>
      <c r="G852" t="s">
        <v>14</v>
      </c>
    </row>
    <row r="853" spans="1:7" x14ac:dyDescent="0.25">
      <c r="A853">
        <v>71</v>
      </c>
      <c r="B853" t="s">
        <v>253</v>
      </c>
      <c r="C853">
        <v>120</v>
      </c>
      <c r="D853" t="s">
        <v>254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255</v>
      </c>
      <c r="C854">
        <v>10</v>
      </c>
      <c r="D854" t="s">
        <v>334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255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255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255</v>
      </c>
      <c r="C857">
        <v>40</v>
      </c>
      <c r="D857" t="s">
        <v>105</v>
      </c>
      <c r="E857" t="s">
        <v>106</v>
      </c>
      <c r="F857">
        <v>0.39500000000000002</v>
      </c>
      <c r="G857" t="s">
        <v>14</v>
      </c>
    </row>
    <row r="858" spans="1:7" x14ac:dyDescent="0.25">
      <c r="A858">
        <v>72</v>
      </c>
      <c r="B858" t="s">
        <v>255</v>
      </c>
      <c r="C858">
        <v>50</v>
      </c>
      <c r="D858" t="s">
        <v>107</v>
      </c>
      <c r="E858" t="s">
        <v>15</v>
      </c>
      <c r="F858">
        <v>20.725999999999999</v>
      </c>
      <c r="G858" t="s">
        <v>14</v>
      </c>
    </row>
    <row r="859" spans="1:7" x14ac:dyDescent="0.25">
      <c r="A859">
        <v>72</v>
      </c>
      <c r="B859" t="s">
        <v>255</v>
      </c>
      <c r="C859">
        <v>60</v>
      </c>
      <c r="D859" t="s">
        <v>18</v>
      </c>
      <c r="E859" t="s">
        <v>15</v>
      </c>
      <c r="F859">
        <v>127.467</v>
      </c>
      <c r="G859" t="s">
        <v>14</v>
      </c>
    </row>
    <row r="860" spans="1:7" x14ac:dyDescent="0.25">
      <c r="A860">
        <v>72</v>
      </c>
      <c r="B860" t="s">
        <v>255</v>
      </c>
      <c r="C860">
        <v>70</v>
      </c>
      <c r="D860" t="s">
        <v>113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255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255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255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255</v>
      </c>
      <c r="C864">
        <v>110</v>
      </c>
      <c r="D864" t="s">
        <v>111</v>
      </c>
      <c r="E864" t="s">
        <v>13</v>
      </c>
      <c r="F864">
        <v>1.27</v>
      </c>
      <c r="G864" t="s">
        <v>14</v>
      </c>
    </row>
    <row r="865" spans="1:7" x14ac:dyDescent="0.25">
      <c r="A865">
        <v>72</v>
      </c>
      <c r="B865" t="s">
        <v>255</v>
      </c>
      <c r="C865">
        <v>120</v>
      </c>
      <c r="D865" t="s">
        <v>256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257</v>
      </c>
      <c r="C866">
        <v>10</v>
      </c>
      <c r="D866" t="s">
        <v>335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257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257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257</v>
      </c>
      <c r="C869">
        <v>40</v>
      </c>
      <c r="D869" t="s">
        <v>105</v>
      </c>
      <c r="E869" t="s">
        <v>106</v>
      </c>
      <c r="F869">
        <v>0.496</v>
      </c>
      <c r="G869" t="s">
        <v>14</v>
      </c>
    </row>
    <row r="870" spans="1:7" x14ac:dyDescent="0.25">
      <c r="A870">
        <v>73</v>
      </c>
      <c r="B870" t="s">
        <v>257</v>
      </c>
      <c r="C870">
        <v>50</v>
      </c>
      <c r="D870" t="s">
        <v>107</v>
      </c>
      <c r="E870" t="s">
        <v>15</v>
      </c>
      <c r="F870">
        <v>22.555</v>
      </c>
      <c r="G870" t="s">
        <v>14</v>
      </c>
    </row>
    <row r="871" spans="1:7" x14ac:dyDescent="0.25">
      <c r="A871">
        <v>73</v>
      </c>
      <c r="B871" t="s">
        <v>257</v>
      </c>
      <c r="C871">
        <v>60</v>
      </c>
      <c r="D871" t="s">
        <v>18</v>
      </c>
      <c r="E871" t="s">
        <v>15</v>
      </c>
      <c r="F871">
        <v>138.714</v>
      </c>
      <c r="G871" t="s">
        <v>14</v>
      </c>
    </row>
    <row r="872" spans="1:7" x14ac:dyDescent="0.25">
      <c r="A872">
        <v>73</v>
      </c>
      <c r="B872" t="s">
        <v>257</v>
      </c>
      <c r="C872">
        <v>70</v>
      </c>
      <c r="D872" t="s">
        <v>113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257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257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257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257</v>
      </c>
      <c r="C876">
        <v>110</v>
      </c>
      <c r="D876" t="s">
        <v>111</v>
      </c>
      <c r="E876" t="s">
        <v>13</v>
      </c>
      <c r="F876">
        <v>1.27</v>
      </c>
      <c r="G876" t="s">
        <v>14</v>
      </c>
    </row>
    <row r="877" spans="1:7" x14ac:dyDescent="0.25">
      <c r="A877">
        <v>73</v>
      </c>
      <c r="B877" t="s">
        <v>257</v>
      </c>
      <c r="C877">
        <v>120</v>
      </c>
      <c r="D877" t="s">
        <v>258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259</v>
      </c>
      <c r="C878">
        <v>10</v>
      </c>
      <c r="D878" t="s">
        <v>336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259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259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259</v>
      </c>
      <c r="C881">
        <v>40</v>
      </c>
      <c r="D881" t="s">
        <v>105</v>
      </c>
      <c r="E881" t="s">
        <v>106</v>
      </c>
      <c r="F881">
        <v>0.54600000000000004</v>
      </c>
      <c r="G881" t="s">
        <v>14</v>
      </c>
    </row>
    <row r="882" spans="1:7" x14ac:dyDescent="0.25">
      <c r="A882">
        <v>74</v>
      </c>
      <c r="B882" t="s">
        <v>259</v>
      </c>
      <c r="C882">
        <v>50</v>
      </c>
      <c r="D882" t="s">
        <v>107</v>
      </c>
      <c r="E882" t="s">
        <v>15</v>
      </c>
      <c r="F882">
        <v>23.47</v>
      </c>
      <c r="G882" t="s">
        <v>14</v>
      </c>
    </row>
    <row r="883" spans="1:7" x14ac:dyDescent="0.25">
      <c r="A883">
        <v>74</v>
      </c>
      <c r="B883" t="s">
        <v>259</v>
      </c>
      <c r="C883">
        <v>60</v>
      </c>
      <c r="D883" t="s">
        <v>18</v>
      </c>
      <c r="E883" t="s">
        <v>15</v>
      </c>
      <c r="F883">
        <v>144.33799999999999</v>
      </c>
      <c r="G883" t="s">
        <v>14</v>
      </c>
    </row>
    <row r="884" spans="1:7" x14ac:dyDescent="0.25">
      <c r="A884">
        <v>74</v>
      </c>
      <c r="B884" t="s">
        <v>259</v>
      </c>
      <c r="C884">
        <v>70</v>
      </c>
      <c r="D884" t="s">
        <v>113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259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259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259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259</v>
      </c>
      <c r="C888">
        <v>110</v>
      </c>
      <c r="D888" t="s">
        <v>111</v>
      </c>
      <c r="E888" t="s">
        <v>13</v>
      </c>
      <c r="F888">
        <v>1.27</v>
      </c>
      <c r="G888" t="s">
        <v>14</v>
      </c>
    </row>
    <row r="889" spans="1:7" x14ac:dyDescent="0.25">
      <c r="A889">
        <v>74</v>
      </c>
      <c r="B889" t="s">
        <v>259</v>
      </c>
      <c r="C889">
        <v>120</v>
      </c>
      <c r="D889" t="s">
        <v>260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261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261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261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261</v>
      </c>
      <c r="C893">
        <v>40</v>
      </c>
      <c r="D893" t="s">
        <v>105</v>
      </c>
      <c r="E893" t="s">
        <v>106</v>
      </c>
      <c r="F893">
        <v>0.59699999999999998</v>
      </c>
      <c r="G893" t="s">
        <v>14</v>
      </c>
    </row>
    <row r="894" spans="1:7" x14ac:dyDescent="0.25">
      <c r="A894">
        <v>75</v>
      </c>
      <c r="B894" t="s">
        <v>261</v>
      </c>
      <c r="C894">
        <v>50</v>
      </c>
      <c r="D894" t="s">
        <v>107</v>
      </c>
      <c r="E894" t="s">
        <v>15</v>
      </c>
      <c r="F894">
        <v>24.384</v>
      </c>
      <c r="G894" t="s">
        <v>14</v>
      </c>
    </row>
    <row r="895" spans="1:7" x14ac:dyDescent="0.25">
      <c r="A895">
        <v>75</v>
      </c>
      <c r="B895" t="s">
        <v>261</v>
      </c>
      <c r="C895">
        <v>60</v>
      </c>
      <c r="D895" t="s">
        <v>18</v>
      </c>
      <c r="E895" t="s">
        <v>15</v>
      </c>
      <c r="F895">
        <v>149.96199999999999</v>
      </c>
      <c r="G895" t="s">
        <v>14</v>
      </c>
    </row>
    <row r="896" spans="1:7" x14ac:dyDescent="0.25">
      <c r="A896">
        <v>75</v>
      </c>
      <c r="B896" t="s">
        <v>261</v>
      </c>
      <c r="C896">
        <v>70</v>
      </c>
      <c r="D896" t="s">
        <v>113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261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261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261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261</v>
      </c>
      <c r="C900">
        <v>110</v>
      </c>
      <c r="D900" t="s">
        <v>111</v>
      </c>
      <c r="E900" t="s">
        <v>13</v>
      </c>
      <c r="F900">
        <v>1.27</v>
      </c>
      <c r="G900" t="s">
        <v>14</v>
      </c>
    </row>
    <row r="901" spans="1:7" x14ac:dyDescent="0.25">
      <c r="A901">
        <v>75</v>
      </c>
      <c r="B901" t="s">
        <v>261</v>
      </c>
      <c r="C901">
        <v>120</v>
      </c>
      <c r="D901" t="s">
        <v>262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4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4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5" t="s">
        <v>49</v>
      </c>
      <c r="C4" s="25" t="s">
        <v>50</v>
      </c>
      <c r="D4" s="41" t="s">
        <v>51</v>
      </c>
      <c r="E4" s="25" t="s">
        <v>3</v>
      </c>
      <c r="F4" s="41" t="s">
        <v>52</v>
      </c>
      <c r="G4" s="25" t="s">
        <v>53</v>
      </c>
      <c r="H4" s="25" t="s">
        <v>6</v>
      </c>
      <c r="I4" s="25" t="s">
        <v>54</v>
      </c>
      <c r="J4" s="41" t="s">
        <v>55</v>
      </c>
      <c r="K4" s="41" t="s">
        <v>56</v>
      </c>
      <c r="L4" s="41" t="s">
        <v>57</v>
      </c>
      <c r="M4" s="26" t="s">
        <v>58</v>
      </c>
      <c r="N4" s="27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112</v>
      </c>
      <c r="D5" s="3"/>
      <c r="E5" s="3" t="s">
        <v>112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112</v>
      </c>
      <c r="D6" s="3"/>
      <c r="E6" s="3" t="s">
        <v>112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112</v>
      </c>
      <c r="D7" s="3"/>
      <c r="E7" s="3" t="s">
        <v>112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112</v>
      </c>
      <c r="D8" s="3"/>
      <c r="E8" s="3" t="s">
        <v>112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0.23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112</v>
      </c>
      <c r="D9" s="3"/>
      <c r="E9" s="3" t="s">
        <v>112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112</v>
      </c>
      <c r="D10" s="3"/>
      <c r="E10" s="3" t="s">
        <v>112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112</v>
      </c>
      <c r="D11" s="3"/>
      <c r="E11" s="3" t="s">
        <v>112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113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112</v>
      </c>
      <c r="D12" s="3"/>
      <c r="E12" s="3" t="s">
        <v>112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112</v>
      </c>
      <c r="D13" s="3"/>
      <c r="E13" s="3" t="s">
        <v>112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112</v>
      </c>
      <c r="D14" s="3"/>
      <c r="E14" s="3" t="s">
        <v>112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112</v>
      </c>
      <c r="D15" s="3"/>
      <c r="E15" s="3" t="s">
        <v>112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0.58099999999999996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112</v>
      </c>
      <c r="D16" s="3"/>
      <c r="E16" s="3" t="s">
        <v>112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153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0.27300000000000002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17.526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107.785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113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0.66200000000000003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154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0.316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18.440000000000001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113.408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113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0.74299999999999999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155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116</v>
      </c>
      <c r="D41" s="3"/>
      <c r="E41" s="3" t="s">
        <v>116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116</v>
      </c>
      <c r="D42" s="3"/>
      <c r="E42" s="3" t="s">
        <v>116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116</v>
      </c>
      <c r="D43" s="3"/>
      <c r="E43" s="3" t="s">
        <v>116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0.35899999999999999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19.355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119.032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113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0.82399999999999995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156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0.38100000000000001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19.812000000000001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121.84399999999999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113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0.86499999999999999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157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118</v>
      </c>
      <c r="D65" s="3"/>
      <c r="E65" s="3" t="s">
        <v>118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118</v>
      </c>
      <c r="D66" s="3"/>
      <c r="E66" s="3" t="s">
        <v>118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118</v>
      </c>
      <c r="D67" s="3"/>
      <c r="E67" s="3" t="s">
        <v>118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118</v>
      </c>
      <c r="D68" s="3"/>
      <c r="E68" s="3" t="s">
        <v>118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0.40300000000000002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118</v>
      </c>
      <c r="D69" s="3"/>
      <c r="E69" s="3" t="s">
        <v>118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20.268999999999998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124.65600000000001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113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0.90500000000000003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158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0.44600000000000001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21.184000000000001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130.279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0.98599999999999999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159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120</v>
      </c>
      <c r="D89" s="3"/>
      <c r="E89" s="3" t="s">
        <v>120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120</v>
      </c>
      <c r="D90" s="3"/>
      <c r="E90" s="3" t="s">
        <v>120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120</v>
      </c>
      <c r="D91" s="3"/>
      <c r="E91" s="3" t="s">
        <v>120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120</v>
      </c>
      <c r="D92" s="3"/>
      <c r="E92" s="3" t="s">
        <v>120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0.48899999999999999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120</v>
      </c>
      <c r="D93" s="3"/>
      <c r="E93" s="3" t="s">
        <v>120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22.097999999999999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120</v>
      </c>
      <c r="D94" s="3"/>
      <c r="E94" s="3" t="s">
        <v>120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135.90299999999999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120</v>
      </c>
      <c r="D95" s="3"/>
      <c r="E95" s="3" t="s">
        <v>120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113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1.0669999999999999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160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121</v>
      </c>
      <c r="D101" s="3"/>
      <c r="E101" s="3" t="s">
        <v>121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121</v>
      </c>
      <c r="D102" s="3"/>
      <c r="E102" s="3" t="s">
        <v>121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121</v>
      </c>
      <c r="D103" s="3"/>
      <c r="E103" s="3" t="s">
        <v>121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121</v>
      </c>
      <c r="D104" s="3"/>
      <c r="E104" s="3" t="s">
        <v>121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0.24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121</v>
      </c>
      <c r="D105" s="3"/>
      <c r="E105" s="3" t="s">
        <v>121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17.068999999999999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121</v>
      </c>
      <c r="D106" s="3"/>
      <c r="E106" s="3" t="s">
        <v>121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104.973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121</v>
      </c>
      <c r="D107" s="3"/>
      <c r="E107" s="3" t="s">
        <v>121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113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121</v>
      </c>
      <c r="D108" s="3"/>
      <c r="E108" s="3" t="s">
        <v>121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0.58099999999999996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161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122</v>
      </c>
      <c r="D113" s="3"/>
      <c r="E113" s="3" t="s">
        <v>122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122</v>
      </c>
      <c r="D114" s="3"/>
      <c r="E114" s="3" t="s">
        <v>122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122</v>
      </c>
      <c r="D115" s="3"/>
      <c r="E115" s="3" t="s">
        <v>122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122</v>
      </c>
      <c r="D116" s="3"/>
      <c r="E116" s="3" t="s">
        <v>122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0.28499999999999998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122</v>
      </c>
      <c r="D117" s="3"/>
      <c r="E117" s="3" t="s">
        <v>122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17.983000000000001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122</v>
      </c>
      <c r="D118" s="3"/>
      <c r="E118" s="3" t="s">
        <v>122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110.59699999999999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122</v>
      </c>
      <c r="D119" s="3"/>
      <c r="E119" s="3" t="s">
        <v>122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113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122</v>
      </c>
      <c r="D120" s="3"/>
      <c r="E120" s="3" t="s">
        <v>122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122</v>
      </c>
      <c r="D121" s="3"/>
      <c r="E121" s="3" t="s">
        <v>122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0.66200000000000003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162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123</v>
      </c>
      <c r="D125" s="3"/>
      <c r="E125" s="3" t="s">
        <v>123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123</v>
      </c>
      <c r="D126" s="3"/>
      <c r="E126" s="3" t="s">
        <v>123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123</v>
      </c>
      <c r="D127" s="3"/>
      <c r="E127" s="3" t="s">
        <v>123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123</v>
      </c>
      <c r="D128" s="3"/>
      <c r="E128" s="3" t="s">
        <v>123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0.33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123</v>
      </c>
      <c r="D129" s="3"/>
      <c r="E129" s="3" t="s">
        <v>123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18.898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123</v>
      </c>
      <c r="D130" s="3"/>
      <c r="E130" s="3" t="s">
        <v>123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116.22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123</v>
      </c>
      <c r="D131" s="3"/>
      <c r="E131" s="3" t="s">
        <v>123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113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123</v>
      </c>
      <c r="D132" s="3"/>
      <c r="E132" s="3" t="s">
        <v>123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123</v>
      </c>
      <c r="D133" s="3"/>
      <c r="E133" s="3" t="s">
        <v>123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123</v>
      </c>
      <c r="D134" s="3"/>
      <c r="E134" s="3" t="s">
        <v>123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0.74299999999999999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163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124</v>
      </c>
      <c r="D137" s="3"/>
      <c r="E137" s="3" t="s">
        <v>124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124</v>
      </c>
      <c r="D138" s="3"/>
      <c r="E138" s="3" t="s">
        <v>124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124</v>
      </c>
      <c r="D139" s="3"/>
      <c r="E139" s="3" t="s">
        <v>124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124</v>
      </c>
      <c r="D140" s="3"/>
      <c r="E140" s="3" t="s">
        <v>124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0.375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124</v>
      </c>
      <c r="D141" s="3"/>
      <c r="E141" s="3" t="s">
        <v>124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19.812000000000001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124</v>
      </c>
      <c r="D142" s="3"/>
      <c r="E142" s="3" t="s">
        <v>124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121.84399999999999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124</v>
      </c>
      <c r="D143" s="3"/>
      <c r="E143" s="3" t="s">
        <v>124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113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124</v>
      </c>
      <c r="D144" s="3"/>
      <c r="E144" s="3" t="s">
        <v>124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124</v>
      </c>
      <c r="D145" s="3"/>
      <c r="E145" s="3" t="s">
        <v>124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124</v>
      </c>
      <c r="D146" s="3"/>
      <c r="E146" s="3" t="s">
        <v>124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124</v>
      </c>
      <c r="D147" s="3"/>
      <c r="E147" s="3" t="s">
        <v>124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0.82399999999999995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164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125</v>
      </c>
      <c r="D149" s="3"/>
      <c r="E149" s="3" t="s">
        <v>125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125</v>
      </c>
      <c r="D150" s="3"/>
      <c r="E150" s="3" t="s">
        <v>125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125</v>
      </c>
      <c r="D151" s="3"/>
      <c r="E151" s="3" t="s">
        <v>125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125</v>
      </c>
      <c r="D152" s="3"/>
      <c r="E152" s="3" t="s">
        <v>125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0.39700000000000002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125</v>
      </c>
      <c r="D153" s="3"/>
      <c r="E153" s="3" t="s">
        <v>125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20.268999999999998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125</v>
      </c>
      <c r="D154" s="3"/>
      <c r="E154" s="3" t="s">
        <v>125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124.65600000000001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125</v>
      </c>
      <c r="D155" s="3"/>
      <c r="E155" s="3" t="s">
        <v>125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113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125</v>
      </c>
      <c r="D156" s="3"/>
      <c r="E156" s="3" t="s">
        <v>125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125</v>
      </c>
      <c r="D157" s="3"/>
      <c r="E157" s="3" t="s">
        <v>125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125</v>
      </c>
      <c r="D158" s="3"/>
      <c r="E158" s="3" t="s">
        <v>125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125</v>
      </c>
      <c r="D159" s="3"/>
      <c r="E159" s="3" t="s">
        <v>125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0.86499999999999999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125</v>
      </c>
      <c r="D160" s="3"/>
      <c r="E160" s="3" t="s">
        <v>125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165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126</v>
      </c>
      <c r="D161" s="3"/>
      <c r="E161" s="3" t="s">
        <v>126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126</v>
      </c>
      <c r="D162" s="3"/>
      <c r="E162" s="3" t="s">
        <v>126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126</v>
      </c>
      <c r="D163" s="3"/>
      <c r="E163" s="3" t="s">
        <v>126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126</v>
      </c>
      <c r="D164" s="3"/>
      <c r="E164" s="3" t="s">
        <v>126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0.42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126</v>
      </c>
      <c r="D165" s="3"/>
      <c r="E165" s="3" t="s">
        <v>126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20.725999999999999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126</v>
      </c>
      <c r="D166" s="3"/>
      <c r="E166" s="3" t="s">
        <v>126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127.467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126</v>
      </c>
      <c r="D167" s="3"/>
      <c r="E167" s="3" t="s">
        <v>126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126</v>
      </c>
      <c r="D168" s="3"/>
      <c r="E168" s="3" t="s">
        <v>126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126</v>
      </c>
      <c r="D169" s="3"/>
      <c r="E169" s="3" t="s">
        <v>126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126</v>
      </c>
      <c r="D170" s="3"/>
      <c r="E170" s="3" t="s">
        <v>126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126</v>
      </c>
      <c r="D171" s="3"/>
      <c r="E171" s="3" t="s">
        <v>126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0.90500000000000003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126</v>
      </c>
      <c r="D172" s="3"/>
      <c r="E172" s="3" t="s">
        <v>126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166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127</v>
      </c>
      <c r="D173" s="3"/>
      <c r="E173" s="3" t="s">
        <v>127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127</v>
      </c>
      <c r="D174" s="3"/>
      <c r="E174" s="3" t="s">
        <v>127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127</v>
      </c>
      <c r="D175" s="3"/>
      <c r="E175" s="3" t="s">
        <v>127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127</v>
      </c>
      <c r="D176" s="3"/>
      <c r="E176" s="3" t="s">
        <v>127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0.46500000000000002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127</v>
      </c>
      <c r="D177" s="3"/>
      <c r="E177" s="3" t="s">
        <v>127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21.640999999999998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127</v>
      </c>
      <c r="D178" s="3"/>
      <c r="E178" s="3" t="s">
        <v>127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133.09100000000001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127</v>
      </c>
      <c r="D179" s="3"/>
      <c r="E179" s="3" t="s">
        <v>127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113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127</v>
      </c>
      <c r="D180" s="3"/>
      <c r="E180" s="3" t="s">
        <v>127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127</v>
      </c>
      <c r="D181" s="3"/>
      <c r="E181" s="3" t="s">
        <v>127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127</v>
      </c>
      <c r="D182" s="3"/>
      <c r="E182" s="3" t="s">
        <v>127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127</v>
      </c>
      <c r="D183" s="3"/>
      <c r="E183" s="3" t="s">
        <v>127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0.98599999999999999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127</v>
      </c>
      <c r="D184" s="3"/>
      <c r="E184" s="3" t="s">
        <v>127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167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128</v>
      </c>
      <c r="D185" s="3"/>
      <c r="E185" s="3" t="s">
        <v>128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128</v>
      </c>
      <c r="D186" s="3"/>
      <c r="E186" s="3" t="s">
        <v>128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128</v>
      </c>
      <c r="D187" s="3"/>
      <c r="E187" s="3" t="s">
        <v>128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128</v>
      </c>
      <c r="D188" s="3"/>
      <c r="E188" s="3" t="s">
        <v>128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0.50900000000000001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128</v>
      </c>
      <c r="D189" s="3"/>
      <c r="E189" s="3" t="s">
        <v>128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22.555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128</v>
      </c>
      <c r="D190" s="3"/>
      <c r="E190" s="3" t="s">
        <v>128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138.714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128</v>
      </c>
      <c r="D191" s="3"/>
      <c r="E191" s="3" t="s">
        <v>128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113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128</v>
      </c>
      <c r="D192" s="3"/>
      <c r="E192" s="3" t="s">
        <v>128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128</v>
      </c>
      <c r="D193" s="3"/>
      <c r="E193" s="3" t="s">
        <v>128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128</v>
      </c>
      <c r="D194" s="3"/>
      <c r="E194" s="3" t="s">
        <v>128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128</v>
      </c>
      <c r="D195" s="3"/>
      <c r="E195" s="3" t="s">
        <v>128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1.0669999999999999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128</v>
      </c>
      <c r="D196" s="3"/>
      <c r="E196" s="3" t="s">
        <v>128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168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129</v>
      </c>
      <c r="D197" s="3"/>
      <c r="E197" s="3" t="s">
        <v>129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129</v>
      </c>
      <c r="D198" s="3"/>
      <c r="E198" s="3" t="s">
        <v>129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129</v>
      </c>
      <c r="D199" s="3"/>
      <c r="E199" s="3" t="s">
        <v>129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129</v>
      </c>
      <c r="D200" s="3"/>
      <c r="E200" s="3" t="s">
        <v>129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0.249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129</v>
      </c>
      <c r="D201" s="3"/>
      <c r="E201" s="3" t="s">
        <v>129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17.526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129</v>
      </c>
      <c r="D202" s="3"/>
      <c r="E202" s="3" t="s">
        <v>129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107.785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129</v>
      </c>
      <c r="D203" s="3"/>
      <c r="E203" s="3" t="s">
        <v>129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113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129</v>
      </c>
      <c r="D204" s="3"/>
      <c r="E204" s="3" t="s">
        <v>129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129</v>
      </c>
      <c r="D205" s="3"/>
      <c r="E205" s="3" t="s">
        <v>129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129</v>
      </c>
      <c r="D206" s="3"/>
      <c r="E206" s="3" t="s">
        <v>129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129</v>
      </c>
      <c r="D207" s="3"/>
      <c r="E207" s="3" t="s">
        <v>129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0.58099999999999996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129</v>
      </c>
      <c r="D208" s="3"/>
      <c r="E208" s="3" t="s">
        <v>129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169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130</v>
      </c>
      <c r="D209" s="3"/>
      <c r="E209" s="3" t="s">
        <v>130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280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130</v>
      </c>
      <c r="D210" s="3"/>
      <c r="E210" s="3" t="s">
        <v>130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130</v>
      </c>
      <c r="D211" s="3"/>
      <c r="E211" s="3" t="s">
        <v>130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130</v>
      </c>
      <c r="D212" s="3"/>
      <c r="E212" s="3" t="s">
        <v>130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0.29599999999999999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130</v>
      </c>
      <c r="D213" s="3"/>
      <c r="E213" s="3" t="s">
        <v>130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18.440000000000001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130</v>
      </c>
      <c r="D214" s="3"/>
      <c r="E214" s="3" t="s">
        <v>130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113.408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130</v>
      </c>
      <c r="D215" s="3"/>
      <c r="E215" s="3" t="s">
        <v>130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113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130</v>
      </c>
      <c r="D216" s="3"/>
      <c r="E216" s="3" t="s">
        <v>130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130</v>
      </c>
      <c r="D217" s="3"/>
      <c r="E217" s="3" t="s">
        <v>130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130</v>
      </c>
      <c r="D218" s="3"/>
      <c r="E218" s="3" t="s">
        <v>130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130</v>
      </c>
      <c r="D219" s="3"/>
      <c r="E219" s="3" t="s">
        <v>130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0.66200000000000003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130</v>
      </c>
      <c r="D220" s="3"/>
      <c r="E220" s="3" t="s">
        <v>130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170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131</v>
      </c>
      <c r="D221" s="3"/>
      <c r="E221" s="3" t="s">
        <v>131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131</v>
      </c>
      <c r="D222" s="3"/>
      <c r="E222" s="3" t="s">
        <v>131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131</v>
      </c>
      <c r="D223" s="3"/>
      <c r="E223" s="3" t="s">
        <v>131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131</v>
      </c>
      <c r="D224" s="3"/>
      <c r="E224" s="3" t="s">
        <v>131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0.34300000000000003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131</v>
      </c>
      <c r="D225" s="3"/>
      <c r="E225" s="3" t="s">
        <v>131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19.355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131</v>
      </c>
      <c r="D226" s="3"/>
      <c r="E226" s="3" t="s">
        <v>131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119.032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131</v>
      </c>
      <c r="D227" s="3"/>
      <c r="E227" s="3" t="s">
        <v>131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113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131</v>
      </c>
      <c r="D228" s="3"/>
      <c r="E228" s="3" t="s">
        <v>131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131</v>
      </c>
      <c r="D229" s="3"/>
      <c r="E229" s="3" t="s">
        <v>131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131</v>
      </c>
      <c r="D230" s="3"/>
      <c r="E230" s="3" t="s">
        <v>131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131</v>
      </c>
      <c r="D231" s="3"/>
      <c r="E231" s="3" t="s">
        <v>131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0.74299999999999999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131</v>
      </c>
      <c r="D232" s="3"/>
      <c r="E232" s="3" t="s">
        <v>131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171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132</v>
      </c>
      <c r="D233" s="3"/>
      <c r="E233" s="3" t="s">
        <v>132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132</v>
      </c>
      <c r="D234" s="3"/>
      <c r="E234" s="3" t="s">
        <v>132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132</v>
      </c>
      <c r="D235" s="3"/>
      <c r="E235" s="3" t="s">
        <v>132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132</v>
      </c>
      <c r="D236" s="3"/>
      <c r="E236" s="3" t="s">
        <v>132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0.39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132</v>
      </c>
      <c r="D237" s="3"/>
      <c r="E237" s="3" t="s">
        <v>132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20.268999999999998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132</v>
      </c>
      <c r="D238" s="3"/>
      <c r="E238" s="3" t="s">
        <v>132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124.65600000000001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132</v>
      </c>
      <c r="D239" s="3"/>
      <c r="E239" s="3" t="s">
        <v>132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113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132</v>
      </c>
      <c r="D240" s="3"/>
      <c r="E240" s="3" t="s">
        <v>132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132</v>
      </c>
      <c r="D241" s="3"/>
      <c r="E241" s="3" t="s">
        <v>132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132</v>
      </c>
      <c r="D242" s="3"/>
      <c r="E242" s="3" t="s">
        <v>132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132</v>
      </c>
      <c r="D243" s="3"/>
      <c r="E243" s="3" t="s">
        <v>132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0.82399999999999995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132</v>
      </c>
      <c r="D244" s="3"/>
      <c r="E244" s="3" t="s">
        <v>132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172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133</v>
      </c>
      <c r="D245" s="3"/>
      <c r="E245" s="3" t="s">
        <v>133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133</v>
      </c>
      <c r="D246" s="3"/>
      <c r="E246" s="3" t="s">
        <v>133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133</v>
      </c>
      <c r="D247" s="3"/>
      <c r="E247" s="3" t="s">
        <v>133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133</v>
      </c>
      <c r="D248" s="3"/>
      <c r="E248" s="3" t="s">
        <v>133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0.41299999999999998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133</v>
      </c>
      <c r="D249" s="3"/>
      <c r="E249" s="3" t="s">
        <v>133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20.725999999999999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133</v>
      </c>
      <c r="D250" s="3"/>
      <c r="E250" s="3" t="s">
        <v>133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127.467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133</v>
      </c>
      <c r="D251" s="3"/>
      <c r="E251" s="3" t="s">
        <v>133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133</v>
      </c>
      <c r="D252" s="3"/>
      <c r="E252" s="3" t="s">
        <v>133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133</v>
      </c>
      <c r="D253" s="3"/>
      <c r="E253" s="3" t="s">
        <v>133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133</v>
      </c>
      <c r="D254" s="3"/>
      <c r="E254" s="3" t="s">
        <v>133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133</v>
      </c>
      <c r="D255" s="3"/>
      <c r="E255" s="3" t="s">
        <v>133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0.86499999999999999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133</v>
      </c>
      <c r="D256" s="3"/>
      <c r="E256" s="3" t="s">
        <v>133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173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134</v>
      </c>
      <c r="D257" s="3"/>
      <c r="E257" s="3" t="s">
        <v>134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134</v>
      </c>
      <c r="D258" s="3"/>
      <c r="E258" s="3" t="s">
        <v>134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134</v>
      </c>
      <c r="D259" s="3"/>
      <c r="E259" s="3" t="s">
        <v>134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134</v>
      </c>
      <c r="D260" s="3"/>
      <c r="E260" s="3" t="s">
        <v>134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0.437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134</v>
      </c>
      <c r="D261" s="3"/>
      <c r="E261" s="3" t="s">
        <v>134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21.184000000000001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134</v>
      </c>
      <c r="D262" s="3"/>
      <c r="E262" s="3" t="s">
        <v>134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130.279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134</v>
      </c>
      <c r="D263" s="3"/>
      <c r="E263" s="3" t="s">
        <v>134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113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134</v>
      </c>
      <c r="D264" s="3"/>
      <c r="E264" s="3" t="s">
        <v>134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134</v>
      </c>
      <c r="D265" s="3"/>
      <c r="E265" s="3" t="s">
        <v>134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134</v>
      </c>
      <c r="D266" s="3"/>
      <c r="E266" s="3" t="s">
        <v>134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134</v>
      </c>
      <c r="D267" s="3"/>
      <c r="E267" s="3" t="s">
        <v>134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0.90500000000000003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134</v>
      </c>
      <c r="D268" s="3"/>
      <c r="E268" s="3" t="s">
        <v>134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174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135</v>
      </c>
      <c r="D269" s="3"/>
      <c r="E269" s="3" t="s">
        <v>135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135</v>
      </c>
      <c r="D270" s="3"/>
      <c r="E270" s="3" t="s">
        <v>135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135</v>
      </c>
      <c r="D271" s="3"/>
      <c r="E271" s="3" t="s">
        <v>135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135</v>
      </c>
      <c r="D272" s="3"/>
      <c r="E272" s="3" t="s">
        <v>135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0.48299999999999998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135</v>
      </c>
      <c r="D273" s="3"/>
      <c r="E273" s="3" t="s">
        <v>135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22.097999999999999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135</v>
      </c>
      <c r="D274" s="3"/>
      <c r="E274" s="3" t="s">
        <v>135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135.90299999999999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135</v>
      </c>
      <c r="D275" s="3"/>
      <c r="E275" s="3" t="s">
        <v>135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113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135</v>
      </c>
      <c r="D276" s="3"/>
      <c r="E276" s="3" t="s">
        <v>135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135</v>
      </c>
      <c r="D277" s="3"/>
      <c r="E277" s="3" t="s">
        <v>135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135</v>
      </c>
      <c r="D278" s="3"/>
      <c r="E278" s="3" t="s">
        <v>135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135</v>
      </c>
      <c r="D279" s="3"/>
      <c r="E279" s="3" t="s">
        <v>135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0.98599999999999999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135</v>
      </c>
      <c r="D280" s="3"/>
      <c r="E280" s="3" t="s">
        <v>135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175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136</v>
      </c>
      <c r="D281" s="3"/>
      <c r="E281" s="3" t="s">
        <v>136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136</v>
      </c>
      <c r="D282" s="3"/>
      <c r="E282" s="3" t="s">
        <v>136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136</v>
      </c>
      <c r="D283" s="3"/>
      <c r="E283" s="3" t="s">
        <v>136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136</v>
      </c>
      <c r="D284" s="3"/>
      <c r="E284" s="3" t="s">
        <v>136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0.53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136</v>
      </c>
      <c r="D285" s="3"/>
      <c r="E285" s="3" t="s">
        <v>136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23.012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136</v>
      </c>
      <c r="D286" s="3"/>
      <c r="E286" s="3" t="s">
        <v>136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141.52600000000001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136</v>
      </c>
      <c r="D287" s="3"/>
      <c r="E287" s="3" t="s">
        <v>136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113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136</v>
      </c>
      <c r="D288" s="3"/>
      <c r="E288" s="3" t="s">
        <v>136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136</v>
      </c>
      <c r="D289" s="3"/>
      <c r="E289" s="3" t="s">
        <v>136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136</v>
      </c>
      <c r="D290" s="3"/>
      <c r="E290" s="3" t="s">
        <v>136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136</v>
      </c>
      <c r="D291" s="3"/>
      <c r="E291" s="3" t="s">
        <v>136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1.0669999999999999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136</v>
      </c>
      <c r="D292" s="3"/>
      <c r="E292" s="3" t="s">
        <v>136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176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137</v>
      </c>
      <c r="D293" s="3"/>
      <c r="E293" s="3" t="s">
        <v>137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137</v>
      </c>
      <c r="D294" s="3"/>
      <c r="E294" s="3" t="s">
        <v>137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137</v>
      </c>
      <c r="D295" s="3"/>
      <c r="E295" s="3" t="s">
        <v>137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137</v>
      </c>
      <c r="D296" s="3"/>
      <c r="E296" s="3" t="s">
        <v>137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0.25600000000000001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137</v>
      </c>
      <c r="D297" s="3"/>
      <c r="E297" s="3" t="s">
        <v>137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17.831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137</v>
      </c>
      <c r="D298" s="3"/>
      <c r="E298" s="3" t="s">
        <v>137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109.65900000000001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137</v>
      </c>
      <c r="D299" s="3"/>
      <c r="E299" s="3" t="s">
        <v>137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137</v>
      </c>
      <c r="D300" s="3"/>
      <c r="E300" s="3" t="s">
        <v>137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137</v>
      </c>
      <c r="D301" s="3"/>
      <c r="E301" s="3" t="s">
        <v>137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137</v>
      </c>
      <c r="D302" s="3"/>
      <c r="E302" s="3" t="s">
        <v>137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137</v>
      </c>
      <c r="D303" s="3"/>
      <c r="E303" s="3" t="s">
        <v>137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1.216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137</v>
      </c>
      <c r="D304" s="3"/>
      <c r="E304" s="3" t="s">
        <v>137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177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138</v>
      </c>
      <c r="D305" s="3"/>
      <c r="E305" s="3" t="s">
        <v>138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138</v>
      </c>
      <c r="D306" s="3"/>
      <c r="E306" s="3" t="s">
        <v>138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138</v>
      </c>
      <c r="D307" s="3"/>
      <c r="E307" s="3" t="s">
        <v>138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138</v>
      </c>
      <c r="D308" s="3"/>
      <c r="E308" s="3" t="s">
        <v>138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0.30399999999999999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138</v>
      </c>
      <c r="D309" s="3"/>
      <c r="E309" s="3" t="s">
        <v>138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18.745000000000001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138</v>
      </c>
      <c r="D310" s="3"/>
      <c r="E310" s="3" t="s">
        <v>138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115.283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138</v>
      </c>
      <c r="D311" s="3"/>
      <c r="E311" s="3" t="s">
        <v>138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113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138</v>
      </c>
      <c r="D312" s="3"/>
      <c r="E312" s="3" t="s">
        <v>138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138</v>
      </c>
      <c r="D313" s="3"/>
      <c r="E313" s="3" t="s">
        <v>138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138</v>
      </c>
      <c r="D314" s="3"/>
      <c r="E314" s="3" t="s">
        <v>138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138</v>
      </c>
      <c r="D315" s="3"/>
      <c r="E315" s="3" t="s">
        <v>138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1.216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138</v>
      </c>
      <c r="D316" s="3"/>
      <c r="E316" s="3" t="s">
        <v>138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178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139</v>
      </c>
      <c r="D317" s="3"/>
      <c r="E317" s="3" t="s">
        <v>139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139</v>
      </c>
      <c r="D318" s="3"/>
      <c r="E318" s="3" t="s">
        <v>139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139</v>
      </c>
      <c r="D319" s="3"/>
      <c r="E319" s="3" t="s">
        <v>139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139</v>
      </c>
      <c r="D320" s="3"/>
      <c r="E320" s="3" t="s">
        <v>139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0.35199999999999998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139</v>
      </c>
      <c r="D321" s="3"/>
      <c r="E321" s="3" t="s">
        <v>139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19.66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139</v>
      </c>
      <c r="D322" s="3"/>
      <c r="E322" s="3" t="s">
        <v>139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120.907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139</v>
      </c>
      <c r="D323" s="3"/>
      <c r="E323" s="3" t="s">
        <v>139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113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139</v>
      </c>
      <c r="D324" s="3"/>
      <c r="E324" s="3" t="s">
        <v>139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139</v>
      </c>
      <c r="D325" s="3"/>
      <c r="E325" s="3" t="s">
        <v>139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139</v>
      </c>
      <c r="D326" s="3"/>
      <c r="E326" s="3" t="s">
        <v>139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139</v>
      </c>
      <c r="D327" s="3"/>
      <c r="E327" s="3" t="s">
        <v>139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1.216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139</v>
      </c>
      <c r="D328" s="3"/>
      <c r="E328" s="3" t="s">
        <v>139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179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140</v>
      </c>
      <c r="D329" s="3"/>
      <c r="E329" s="3" t="s">
        <v>140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140</v>
      </c>
      <c r="D330" s="3"/>
      <c r="E330" s="3" t="s">
        <v>140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140</v>
      </c>
      <c r="D331" s="3"/>
      <c r="E331" s="3" t="s">
        <v>140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140</v>
      </c>
      <c r="D332" s="3"/>
      <c r="E332" s="3" t="s">
        <v>140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0.4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140</v>
      </c>
      <c r="D333" s="3"/>
      <c r="E333" s="3" t="s">
        <v>140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20.574000000000002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140</v>
      </c>
      <c r="D334" s="3"/>
      <c r="E334" s="3" t="s">
        <v>140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126.53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140</v>
      </c>
      <c r="D335" s="3"/>
      <c r="E335" s="3" t="s">
        <v>140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140</v>
      </c>
      <c r="D336" s="3"/>
      <c r="E336" s="3" t="s">
        <v>140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140</v>
      </c>
      <c r="D337" s="3"/>
      <c r="E337" s="3" t="s">
        <v>140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140</v>
      </c>
      <c r="D338" s="3"/>
      <c r="E338" s="3" t="s">
        <v>140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140</v>
      </c>
      <c r="D339" s="3"/>
      <c r="E339" s="3" t="s">
        <v>140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1.216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140</v>
      </c>
      <c r="D340" s="3"/>
      <c r="E340" s="3" t="s">
        <v>140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180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141</v>
      </c>
      <c r="D341" s="3"/>
      <c r="E341" s="3" t="s">
        <v>141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141</v>
      </c>
      <c r="D342" s="3"/>
      <c r="E342" s="3" t="s">
        <v>141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141</v>
      </c>
      <c r="D343" s="3"/>
      <c r="E343" s="3" t="s">
        <v>141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141</v>
      </c>
      <c r="D344" s="3"/>
      <c r="E344" s="3" t="s">
        <v>141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0.42399999999999999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141</v>
      </c>
      <c r="D345" s="3"/>
      <c r="E345" s="3" t="s">
        <v>141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21.030999999999999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141</v>
      </c>
      <c r="D346" s="3"/>
      <c r="E346" s="3" t="s">
        <v>141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129.34200000000001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141</v>
      </c>
      <c r="D347" s="3"/>
      <c r="E347" s="3" t="s">
        <v>141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113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141</v>
      </c>
      <c r="D348" s="3"/>
      <c r="E348" s="3" t="s">
        <v>141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141</v>
      </c>
      <c r="D349" s="3"/>
      <c r="E349" s="3" t="s">
        <v>141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141</v>
      </c>
      <c r="D350" s="3"/>
      <c r="E350" s="3" t="s">
        <v>141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141</v>
      </c>
      <c r="D351" s="3"/>
      <c r="E351" s="3" t="s">
        <v>141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1.216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141</v>
      </c>
      <c r="D352" s="3"/>
      <c r="E352" s="3" t="s">
        <v>141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181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142</v>
      </c>
      <c r="D353" s="3"/>
      <c r="E353" s="3" t="s">
        <v>142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142</v>
      </c>
      <c r="D354" s="3"/>
      <c r="E354" s="3" t="s">
        <v>142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142</v>
      </c>
      <c r="D355" s="3"/>
      <c r="E355" s="3" t="s">
        <v>142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142</v>
      </c>
      <c r="D356" s="3"/>
      <c r="E356" s="3" t="s">
        <v>142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0.44800000000000001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142</v>
      </c>
      <c r="D357" s="3"/>
      <c r="E357" s="3" t="s">
        <v>142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21.488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142</v>
      </c>
      <c r="D358" s="3"/>
      <c r="E358" s="3" t="s">
        <v>142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132.154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142</v>
      </c>
      <c r="D359" s="3"/>
      <c r="E359" s="3" t="s">
        <v>142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113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142</v>
      </c>
      <c r="D360" s="3"/>
      <c r="E360" s="3" t="s">
        <v>142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142</v>
      </c>
      <c r="D361" s="3"/>
      <c r="E361" s="3" t="s">
        <v>142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142</v>
      </c>
      <c r="D362" s="3"/>
      <c r="E362" s="3" t="s">
        <v>142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142</v>
      </c>
      <c r="D363" s="3"/>
      <c r="E363" s="3" t="s">
        <v>142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1.216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142</v>
      </c>
      <c r="D364" s="3"/>
      <c r="E364" s="3" t="s">
        <v>142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182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143</v>
      </c>
      <c r="D365" s="3"/>
      <c r="E365" s="3" t="s">
        <v>143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143</v>
      </c>
      <c r="D366" s="3"/>
      <c r="E366" s="3" t="s">
        <v>143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143</v>
      </c>
      <c r="D367" s="3"/>
      <c r="E367" s="3" t="s">
        <v>143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143</v>
      </c>
      <c r="D368" s="3"/>
      <c r="E368" s="3" t="s">
        <v>143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0.496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143</v>
      </c>
      <c r="D369" s="3"/>
      <c r="E369" s="3" t="s">
        <v>143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22.402999999999999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143</v>
      </c>
      <c r="D370" s="3"/>
      <c r="E370" s="3" t="s">
        <v>143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137.77699999999999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143</v>
      </c>
      <c r="D371" s="3"/>
      <c r="E371" s="3" t="s">
        <v>143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113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143</v>
      </c>
      <c r="D372" s="3"/>
      <c r="E372" s="3" t="s">
        <v>143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143</v>
      </c>
      <c r="D373" s="3"/>
      <c r="E373" s="3" t="s">
        <v>143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143</v>
      </c>
      <c r="D374" s="3"/>
      <c r="E374" s="3" t="s">
        <v>143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143</v>
      </c>
      <c r="D375" s="3"/>
      <c r="E375" s="3" t="s">
        <v>143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1.216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143</v>
      </c>
      <c r="D376" s="3"/>
      <c r="E376" s="3" t="s">
        <v>143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183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144</v>
      </c>
      <c r="D377" s="3"/>
      <c r="E377" s="3" t="s">
        <v>144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144</v>
      </c>
      <c r="D378" s="3"/>
      <c r="E378" s="3" t="s">
        <v>144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144</v>
      </c>
      <c r="D379" s="3"/>
      <c r="E379" s="3" t="s">
        <v>144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144</v>
      </c>
      <c r="D380" s="3"/>
      <c r="E380" s="3" t="s">
        <v>144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0.54400000000000004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144</v>
      </c>
      <c r="D381" s="3"/>
      <c r="E381" s="3" t="s">
        <v>144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23.317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144</v>
      </c>
      <c r="D382" s="3"/>
      <c r="E382" s="3" t="s">
        <v>144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143.40100000000001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144</v>
      </c>
      <c r="D383" s="3"/>
      <c r="E383" s="3" t="s">
        <v>144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113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144</v>
      </c>
      <c r="D384" s="3"/>
      <c r="E384" s="3" t="s">
        <v>144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144</v>
      </c>
      <c r="D385" s="3"/>
      <c r="E385" s="3" t="s">
        <v>144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144</v>
      </c>
      <c r="D386" s="3"/>
      <c r="E386" s="3" t="s">
        <v>144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144</v>
      </c>
      <c r="D387" s="3"/>
      <c r="E387" s="3" t="s">
        <v>144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1.216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144</v>
      </c>
      <c r="D388" s="3"/>
      <c r="E388" s="3" t="s">
        <v>144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184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145</v>
      </c>
      <c r="D389" s="3"/>
      <c r="E389" s="3" t="s">
        <v>145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145</v>
      </c>
      <c r="D390" s="3"/>
      <c r="E390" s="3" t="s">
        <v>145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145</v>
      </c>
      <c r="D391" s="3"/>
      <c r="E391" s="3" t="s">
        <v>145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145</v>
      </c>
      <c r="D392" s="3"/>
      <c r="E392" s="3" t="s">
        <v>145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0.26900000000000002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145</v>
      </c>
      <c r="D393" s="3"/>
      <c r="E393" s="3" t="s">
        <v>145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18.440000000000001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145</v>
      </c>
      <c r="D394" s="3"/>
      <c r="E394" s="3" t="s">
        <v>145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113.408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145</v>
      </c>
      <c r="D395" s="3"/>
      <c r="E395" s="3" t="s">
        <v>145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113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145</v>
      </c>
      <c r="D396" s="3"/>
      <c r="E396" s="3" t="s">
        <v>145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145</v>
      </c>
      <c r="D397" s="3"/>
      <c r="E397" s="3" t="s">
        <v>145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145</v>
      </c>
      <c r="D398" s="3"/>
      <c r="E398" s="3" t="s">
        <v>145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145</v>
      </c>
      <c r="D399" s="3"/>
      <c r="E399" s="3" t="s">
        <v>145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1.27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145</v>
      </c>
      <c r="D400" s="3"/>
      <c r="E400" s="3" t="s">
        <v>145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185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146</v>
      </c>
      <c r="D401" s="3"/>
      <c r="E401" s="3" t="s">
        <v>146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146</v>
      </c>
      <c r="D402" s="3"/>
      <c r="E402" s="3" t="s">
        <v>146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146</v>
      </c>
      <c r="D403" s="3"/>
      <c r="E403" s="3" t="s">
        <v>146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146</v>
      </c>
      <c r="D404" s="3"/>
      <c r="E404" s="3" t="s">
        <v>146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0.31900000000000001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146</v>
      </c>
      <c r="D405" s="3"/>
      <c r="E405" s="3" t="s">
        <v>146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19.355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146</v>
      </c>
      <c r="D406" s="3"/>
      <c r="E406" s="3" t="s">
        <v>146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119.032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146</v>
      </c>
      <c r="D407" s="3"/>
      <c r="E407" s="3" t="s">
        <v>146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113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146</v>
      </c>
      <c r="D408" s="3"/>
      <c r="E408" s="3" t="s">
        <v>146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146</v>
      </c>
      <c r="D409" s="3"/>
      <c r="E409" s="3" t="s">
        <v>146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146</v>
      </c>
      <c r="D410" s="3"/>
      <c r="E410" s="3" t="s">
        <v>146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146</v>
      </c>
      <c r="D411" s="3"/>
      <c r="E411" s="3" t="s">
        <v>146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1.27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146</v>
      </c>
      <c r="D412" s="3"/>
      <c r="E412" s="3" t="s">
        <v>146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186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147</v>
      </c>
      <c r="D413" s="3"/>
      <c r="E413" s="3" t="s">
        <v>147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147</v>
      </c>
      <c r="D414" s="3"/>
      <c r="E414" s="3" t="s">
        <v>147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147</v>
      </c>
      <c r="D415" s="3"/>
      <c r="E415" s="3" t="s">
        <v>147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147</v>
      </c>
      <c r="D416" s="3"/>
      <c r="E416" s="3" t="s">
        <v>147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0.37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147</v>
      </c>
      <c r="D417" s="3"/>
      <c r="E417" s="3" t="s">
        <v>147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20.268999999999998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147</v>
      </c>
      <c r="D418" s="3"/>
      <c r="E418" s="3" t="s">
        <v>147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124.65600000000001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147</v>
      </c>
      <c r="D419" s="3"/>
      <c r="E419" s="3" t="s">
        <v>147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147</v>
      </c>
      <c r="D420" s="3"/>
      <c r="E420" s="3" t="s">
        <v>147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147</v>
      </c>
      <c r="D421" s="3"/>
      <c r="E421" s="3" t="s">
        <v>147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147</v>
      </c>
      <c r="D422" s="3"/>
      <c r="E422" s="3" t="s">
        <v>147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147</v>
      </c>
      <c r="D423" s="3"/>
      <c r="E423" s="3" t="s">
        <v>147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1.27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147</v>
      </c>
      <c r="D424" s="3"/>
      <c r="E424" s="3" t="s">
        <v>147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187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148</v>
      </c>
      <c r="D425" s="3"/>
      <c r="E425" s="3" t="s">
        <v>148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148</v>
      </c>
      <c r="D426" s="3"/>
      <c r="E426" s="3" t="s">
        <v>148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148</v>
      </c>
      <c r="D427" s="3"/>
      <c r="E427" s="3" t="s">
        <v>148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148</v>
      </c>
      <c r="D428" s="3"/>
      <c r="E428" s="3" t="s">
        <v>148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0.42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148</v>
      </c>
      <c r="D429" s="3"/>
      <c r="E429" s="3" t="s">
        <v>148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21.184000000000001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148</v>
      </c>
      <c r="D430" s="3"/>
      <c r="E430" s="3" t="s">
        <v>148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130.279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148</v>
      </c>
      <c r="D431" s="3"/>
      <c r="E431" s="3" t="s">
        <v>148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113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148</v>
      </c>
      <c r="D432" s="3"/>
      <c r="E432" s="3" t="s">
        <v>148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148</v>
      </c>
      <c r="D433" s="3"/>
      <c r="E433" s="3" t="s">
        <v>148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148</v>
      </c>
      <c r="D434" s="3"/>
      <c r="E434" s="3" t="s">
        <v>148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148</v>
      </c>
      <c r="D435" s="3"/>
      <c r="E435" s="3" t="s">
        <v>148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1.27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148</v>
      </c>
      <c r="D436" s="3"/>
      <c r="E436" s="3" t="s">
        <v>148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188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149</v>
      </c>
      <c r="D437" s="3"/>
      <c r="E437" s="3" t="s">
        <v>149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149</v>
      </c>
      <c r="D438" s="3"/>
      <c r="E438" s="3" t="s">
        <v>149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149</v>
      </c>
      <c r="D439" s="3"/>
      <c r="E439" s="3" t="s">
        <v>149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149</v>
      </c>
      <c r="D440" s="3"/>
      <c r="E440" s="3" t="s">
        <v>149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0.44500000000000001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149</v>
      </c>
      <c r="D441" s="3"/>
      <c r="E441" s="3" t="s">
        <v>149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21.640999999999998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149</v>
      </c>
      <c r="D442" s="3"/>
      <c r="E442" s="3" t="s">
        <v>149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133.09100000000001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149</v>
      </c>
      <c r="D443" s="3"/>
      <c r="E443" s="3" t="s">
        <v>149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113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149</v>
      </c>
      <c r="D444" s="3"/>
      <c r="E444" s="3" t="s">
        <v>149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149</v>
      </c>
      <c r="D445" s="3"/>
      <c r="E445" s="3" t="s">
        <v>149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149</v>
      </c>
      <c r="D446" s="3"/>
      <c r="E446" s="3" t="s">
        <v>149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149</v>
      </c>
      <c r="D447" s="3"/>
      <c r="E447" s="3" t="s">
        <v>149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1.27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149</v>
      </c>
      <c r="D448" s="3"/>
      <c r="E448" s="3" t="s">
        <v>149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189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150</v>
      </c>
      <c r="D449" s="3"/>
      <c r="E449" s="3" t="s">
        <v>150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300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150</v>
      </c>
      <c r="D450" s="3"/>
      <c r="E450" s="3" t="s">
        <v>150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150</v>
      </c>
      <c r="D451" s="3"/>
      <c r="E451" s="3" t="s">
        <v>150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150</v>
      </c>
      <c r="D452" s="3"/>
      <c r="E452" s="3" t="s">
        <v>150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0.47099999999999997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150</v>
      </c>
      <c r="D453" s="3"/>
      <c r="E453" s="3" t="s">
        <v>150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22.097999999999999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150</v>
      </c>
      <c r="D454" s="3"/>
      <c r="E454" s="3" t="s">
        <v>150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135.90299999999999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150</v>
      </c>
      <c r="D455" s="3"/>
      <c r="E455" s="3" t="s">
        <v>150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113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150</v>
      </c>
      <c r="D456" s="3"/>
      <c r="E456" s="3" t="s">
        <v>150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150</v>
      </c>
      <c r="D457" s="3"/>
      <c r="E457" s="3" t="s">
        <v>150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150</v>
      </c>
      <c r="D458" s="3"/>
      <c r="E458" s="3" t="s">
        <v>150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150</v>
      </c>
      <c r="D459" s="3"/>
      <c r="E459" s="3" t="s">
        <v>150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1.27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150</v>
      </c>
      <c r="D460" s="3"/>
      <c r="E460" s="3" t="s">
        <v>150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190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151</v>
      </c>
      <c r="D461" s="3"/>
      <c r="E461" s="3" t="s">
        <v>151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151</v>
      </c>
      <c r="D462" s="3"/>
      <c r="E462" s="3" t="s">
        <v>151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151</v>
      </c>
      <c r="D463" s="3"/>
      <c r="E463" s="3" t="s">
        <v>151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151</v>
      </c>
      <c r="D464" s="3"/>
      <c r="E464" s="3" t="s">
        <v>151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0.52100000000000002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151</v>
      </c>
      <c r="D465" s="3"/>
      <c r="E465" s="3" t="s">
        <v>151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23.012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151</v>
      </c>
      <c r="D466" s="3"/>
      <c r="E466" s="3" t="s">
        <v>151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141.52600000000001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151</v>
      </c>
      <c r="D467" s="3"/>
      <c r="E467" s="3" t="s">
        <v>151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113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151</v>
      </c>
      <c r="D468" s="3"/>
      <c r="E468" s="3" t="s">
        <v>151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151</v>
      </c>
      <c r="D469" s="3"/>
      <c r="E469" s="3" t="s">
        <v>151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151</v>
      </c>
      <c r="D470" s="3"/>
      <c r="E470" s="3" t="s">
        <v>151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151</v>
      </c>
      <c r="D471" s="3"/>
      <c r="E471" s="3" t="s">
        <v>151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1.27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151</v>
      </c>
      <c r="D472" s="3"/>
      <c r="E472" s="3" t="s">
        <v>151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191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152</v>
      </c>
      <c r="D473" s="3"/>
      <c r="E473" s="3" t="s">
        <v>152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152</v>
      </c>
      <c r="D474" s="3"/>
      <c r="E474" s="3" t="s">
        <v>152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152</v>
      </c>
      <c r="D475" s="3"/>
      <c r="E475" s="3" t="s">
        <v>152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152</v>
      </c>
      <c r="D476" s="3"/>
      <c r="E476" s="3" t="s">
        <v>152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0.57099999999999995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152</v>
      </c>
      <c r="D477" s="3"/>
      <c r="E477" s="3" t="s">
        <v>152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23.927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152</v>
      </c>
      <c r="D478" s="3"/>
      <c r="E478" s="3" t="s">
        <v>152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147.15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152</v>
      </c>
      <c r="D479" s="3"/>
      <c r="E479" s="3" t="s">
        <v>152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113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152</v>
      </c>
      <c r="D480" s="3"/>
      <c r="E480" s="3" t="s">
        <v>152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152</v>
      </c>
      <c r="D481" s="3"/>
      <c r="E481" s="3" t="s">
        <v>152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152</v>
      </c>
      <c r="D482" s="3"/>
      <c r="E482" s="3" t="s">
        <v>152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152</v>
      </c>
      <c r="D483" s="3"/>
      <c r="E483" s="3" t="s">
        <v>152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1.27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152</v>
      </c>
      <c r="D484" s="3"/>
      <c r="E484" s="3" t="s">
        <v>152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192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193</v>
      </c>
      <c r="D485" s="3"/>
      <c r="E485" s="3" t="s">
        <v>193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0.20799999999999999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16.154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99.35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113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193</v>
      </c>
      <c r="D495" s="3"/>
      <c r="E495" s="3" t="s">
        <v>193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0.54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193</v>
      </c>
      <c r="D496" s="3"/>
      <c r="E496" s="3" t="s">
        <v>193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194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195</v>
      </c>
      <c r="D497" s="3"/>
      <c r="E497" s="3" t="s">
        <v>195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195</v>
      </c>
      <c r="D498" s="3"/>
      <c r="E498" s="3" t="s">
        <v>195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195</v>
      </c>
      <c r="D499" s="3"/>
      <c r="E499" s="3" t="s">
        <v>195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195</v>
      </c>
      <c r="D500" s="3"/>
      <c r="E500" s="3" t="s">
        <v>195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0.252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195</v>
      </c>
      <c r="D501" s="3"/>
      <c r="E501" s="3" t="s">
        <v>195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17.068999999999999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195</v>
      </c>
      <c r="D502" s="3"/>
      <c r="E502" s="3" t="s">
        <v>195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104.973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195</v>
      </c>
      <c r="D503" s="3"/>
      <c r="E503" s="3" t="s">
        <v>195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195</v>
      </c>
      <c r="D504" s="3"/>
      <c r="E504" s="3" t="s">
        <v>195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195</v>
      </c>
      <c r="D505" s="3"/>
      <c r="E505" s="3" t="s">
        <v>195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195</v>
      </c>
      <c r="D506" s="3"/>
      <c r="E506" s="3" t="s">
        <v>195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195</v>
      </c>
      <c r="D507" s="3"/>
      <c r="E507" s="3" t="s">
        <v>195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0.622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195</v>
      </c>
      <c r="D508" s="3"/>
      <c r="E508" s="3" t="s">
        <v>195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196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197</v>
      </c>
      <c r="D509" s="3"/>
      <c r="E509" s="3" t="s">
        <v>197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197</v>
      </c>
      <c r="D510" s="3"/>
      <c r="E510" s="3" t="s">
        <v>197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197</v>
      </c>
      <c r="D511" s="3"/>
      <c r="E511" s="3" t="s">
        <v>197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197</v>
      </c>
      <c r="D512" s="3"/>
      <c r="E512" s="3" t="s">
        <v>197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0.29499999999999998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197</v>
      </c>
      <c r="D513" s="3"/>
      <c r="E513" s="3" t="s">
        <v>197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17.983000000000001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197</v>
      </c>
      <c r="D514" s="3"/>
      <c r="E514" s="3" t="s">
        <v>197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110.59699999999999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197</v>
      </c>
      <c r="D515" s="3"/>
      <c r="E515" s="3" t="s">
        <v>197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113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197</v>
      </c>
      <c r="D516" s="3"/>
      <c r="E516" s="3" t="s">
        <v>197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197</v>
      </c>
      <c r="D517" s="3"/>
      <c r="E517" s="3" t="s">
        <v>197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197</v>
      </c>
      <c r="D518" s="3"/>
      <c r="E518" s="3" t="s">
        <v>197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197</v>
      </c>
      <c r="D519" s="3"/>
      <c r="E519" s="3" t="s">
        <v>197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0.70299999999999996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197</v>
      </c>
      <c r="D520" s="3"/>
      <c r="E520" s="3" t="s">
        <v>197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198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199</v>
      </c>
      <c r="D521" s="3"/>
      <c r="E521" s="3" t="s">
        <v>199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199</v>
      </c>
      <c r="D522" s="3"/>
      <c r="E522" s="3" t="s">
        <v>199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199</v>
      </c>
      <c r="D523" s="3"/>
      <c r="E523" s="3" t="s">
        <v>199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199</v>
      </c>
      <c r="D524" s="3"/>
      <c r="E524" s="3" t="s">
        <v>199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0.33800000000000002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199</v>
      </c>
      <c r="D525" s="3"/>
      <c r="E525" s="3" t="s">
        <v>199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18.898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199</v>
      </c>
      <c r="D526" s="3"/>
      <c r="E526" s="3" t="s">
        <v>199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116.22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199</v>
      </c>
      <c r="D527" s="3"/>
      <c r="E527" s="3" t="s">
        <v>199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113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199</v>
      </c>
      <c r="D528" s="3"/>
      <c r="E528" s="3" t="s">
        <v>199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199</v>
      </c>
      <c r="D529" s="3"/>
      <c r="E529" s="3" t="s">
        <v>199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199</v>
      </c>
      <c r="D530" s="3"/>
      <c r="E530" s="3" t="s">
        <v>199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199</v>
      </c>
      <c r="D531" s="3"/>
      <c r="E531" s="3" t="s">
        <v>199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0.78400000000000003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199</v>
      </c>
      <c r="D532" s="3"/>
      <c r="E532" s="3" t="s">
        <v>199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201</v>
      </c>
      <c r="D533" s="3"/>
      <c r="E533" s="3" t="s">
        <v>201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201</v>
      </c>
      <c r="D534" s="3"/>
      <c r="E534" s="3" t="s">
        <v>201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201</v>
      </c>
      <c r="D535" s="3"/>
      <c r="E535" s="3" t="s">
        <v>201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201</v>
      </c>
      <c r="D536" s="3"/>
      <c r="E536" s="3" t="s">
        <v>201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0.42399999999999999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201</v>
      </c>
      <c r="D537" s="3"/>
      <c r="E537" s="3" t="s">
        <v>201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20.725999999999999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201</v>
      </c>
      <c r="D538" s="3"/>
      <c r="E538" s="3" t="s">
        <v>201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127.467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201</v>
      </c>
      <c r="D539" s="3"/>
      <c r="E539" s="3" t="s">
        <v>201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113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201</v>
      </c>
      <c r="D540" s="3"/>
      <c r="E540" s="3" t="s">
        <v>201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201</v>
      </c>
      <c r="D541" s="3"/>
      <c r="E541" s="3" t="s">
        <v>201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201</v>
      </c>
      <c r="D542" s="3"/>
      <c r="E542" s="3" t="s">
        <v>201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201</v>
      </c>
      <c r="D543" s="3"/>
      <c r="E543" s="3" t="s">
        <v>201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0.94599999999999995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201</v>
      </c>
      <c r="D544" s="3"/>
      <c r="E544" s="3" t="s">
        <v>201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202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203</v>
      </c>
      <c r="D545" s="3"/>
      <c r="E545" s="3" t="s">
        <v>203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203</v>
      </c>
      <c r="D546" s="3"/>
      <c r="E546" s="3" t="s">
        <v>203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203</v>
      </c>
      <c r="D547" s="3"/>
      <c r="E547" s="3" t="s">
        <v>203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203</v>
      </c>
      <c r="D548" s="3"/>
      <c r="E548" s="3" t="s">
        <v>203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0.46700000000000003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203</v>
      </c>
      <c r="D549" s="3"/>
      <c r="E549" s="3" t="s">
        <v>203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21.640999999999998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203</v>
      </c>
      <c r="D550" s="3"/>
      <c r="E550" s="3" t="s">
        <v>203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133.09100000000001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203</v>
      </c>
      <c r="D551" s="3"/>
      <c r="E551" s="3" t="s">
        <v>203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113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203</v>
      </c>
      <c r="D552" s="3"/>
      <c r="E552" s="3" t="s">
        <v>203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203</v>
      </c>
      <c r="D553" s="3"/>
      <c r="E553" s="3" t="s">
        <v>203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203</v>
      </c>
      <c r="D554" s="3"/>
      <c r="E554" s="3" t="s">
        <v>203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203</v>
      </c>
      <c r="D555" s="3"/>
      <c r="E555" s="3" t="s">
        <v>203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1.0269999999999999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203</v>
      </c>
      <c r="D556" s="3"/>
      <c r="E556" s="3" t="s">
        <v>203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204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205</v>
      </c>
      <c r="D557" s="3"/>
      <c r="E557" s="3" t="s">
        <v>205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205</v>
      </c>
      <c r="D558" s="3"/>
      <c r="E558" s="3" t="s">
        <v>205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205</v>
      </c>
      <c r="D559" s="3"/>
      <c r="E559" s="3" t="s">
        <v>205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205</v>
      </c>
      <c r="D560" s="3"/>
      <c r="E560" s="3" t="s">
        <v>205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0.51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205</v>
      </c>
      <c r="D561" s="3"/>
      <c r="E561" s="3" t="s">
        <v>205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22.555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205</v>
      </c>
      <c r="D562" s="3"/>
      <c r="E562" s="3" t="s">
        <v>205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138.714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205</v>
      </c>
      <c r="D563" s="3"/>
      <c r="E563" s="3" t="s">
        <v>205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113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205</v>
      </c>
      <c r="D564" s="3"/>
      <c r="E564" s="3" t="s">
        <v>205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205</v>
      </c>
      <c r="D565" s="3"/>
      <c r="E565" s="3" t="s">
        <v>205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205</v>
      </c>
      <c r="D566" s="3"/>
      <c r="E566" s="3" t="s">
        <v>205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205</v>
      </c>
      <c r="D567" s="3"/>
      <c r="E567" s="3" t="s">
        <v>205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1.1080000000000001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205</v>
      </c>
      <c r="D568" s="3"/>
      <c r="E568" s="3" t="s">
        <v>205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206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207</v>
      </c>
      <c r="D569" s="3"/>
      <c r="E569" s="3" t="s">
        <v>207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207</v>
      </c>
      <c r="D570" s="3"/>
      <c r="E570" s="3" t="s">
        <v>207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207</v>
      </c>
      <c r="D571" s="3"/>
      <c r="E571" s="3" t="s">
        <v>207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207</v>
      </c>
      <c r="D572" s="3"/>
      <c r="E572" s="3" t="s">
        <v>207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0.217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207</v>
      </c>
      <c r="D573" s="3"/>
      <c r="E573" s="3" t="s">
        <v>207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16.611999999999998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207</v>
      </c>
      <c r="D574" s="3"/>
      <c r="E574" s="3" t="s">
        <v>207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102.161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207</v>
      </c>
      <c r="D575" s="3"/>
      <c r="E575" s="3" t="s">
        <v>207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113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207</v>
      </c>
      <c r="D576" s="3"/>
      <c r="E576" s="3" t="s">
        <v>207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207</v>
      </c>
      <c r="D577" s="3"/>
      <c r="E577" s="3" t="s">
        <v>207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207</v>
      </c>
      <c r="D578" s="3"/>
      <c r="E578" s="3" t="s">
        <v>207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207</v>
      </c>
      <c r="D579" s="3"/>
      <c r="E579" s="3" t="s">
        <v>207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0.54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207</v>
      </c>
      <c r="D580" s="3"/>
      <c r="E580" s="3" t="s">
        <v>207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208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209</v>
      </c>
      <c r="D581" s="3"/>
      <c r="E581" s="3" t="s">
        <v>209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209</v>
      </c>
      <c r="D582" s="3"/>
      <c r="E582" s="3" t="s">
        <v>209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209</v>
      </c>
      <c r="D583" s="3"/>
      <c r="E583" s="3" t="s">
        <v>209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209</v>
      </c>
      <c r="D584" s="3"/>
      <c r="E584" s="3" t="s">
        <v>209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0.26200000000000001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209</v>
      </c>
      <c r="D585" s="3"/>
      <c r="E585" s="3" t="s">
        <v>209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17.526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209</v>
      </c>
      <c r="D586" s="3"/>
      <c r="E586" s="3" t="s">
        <v>209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107.785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209</v>
      </c>
      <c r="D587" s="3"/>
      <c r="E587" s="3" t="s">
        <v>209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209</v>
      </c>
      <c r="D588" s="3"/>
      <c r="E588" s="3" t="s">
        <v>209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209</v>
      </c>
      <c r="D589" s="3"/>
      <c r="E589" s="3" t="s">
        <v>209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209</v>
      </c>
      <c r="D590" s="3"/>
      <c r="E590" s="3" t="s">
        <v>209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209</v>
      </c>
      <c r="D591" s="3"/>
      <c r="E591" s="3" t="s">
        <v>209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0.622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209</v>
      </c>
      <c r="D592" s="3"/>
      <c r="E592" s="3" t="s">
        <v>209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211</v>
      </c>
      <c r="D593" s="3"/>
      <c r="E593" s="3" t="s">
        <v>211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211</v>
      </c>
      <c r="D594" s="3"/>
      <c r="E594" s="3" t="s">
        <v>211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211</v>
      </c>
      <c r="D595" s="3"/>
      <c r="E595" s="3" t="s">
        <v>211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211</v>
      </c>
      <c r="D596" s="3"/>
      <c r="E596" s="3" t="s">
        <v>211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0.307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211</v>
      </c>
      <c r="D597" s="3"/>
      <c r="E597" s="3" t="s">
        <v>211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18.440000000000001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211</v>
      </c>
      <c r="D598" s="3"/>
      <c r="E598" s="3" t="s">
        <v>211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113.408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211</v>
      </c>
      <c r="D599" s="3"/>
      <c r="E599" s="3" t="s">
        <v>211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113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211</v>
      </c>
      <c r="D600" s="3"/>
      <c r="E600" s="3" t="s">
        <v>211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211</v>
      </c>
      <c r="D601" s="3"/>
      <c r="E601" s="3" t="s">
        <v>211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211</v>
      </c>
      <c r="D602" s="3"/>
      <c r="E602" s="3" t="s">
        <v>211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211</v>
      </c>
      <c r="D603" s="3"/>
      <c r="E603" s="3" t="s">
        <v>211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0.70299999999999996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211</v>
      </c>
      <c r="D604" s="3"/>
      <c r="E604" s="3" t="s">
        <v>211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212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213</v>
      </c>
      <c r="D605" s="3"/>
      <c r="E605" s="3" t="s">
        <v>213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213</v>
      </c>
      <c r="D606" s="3"/>
      <c r="E606" s="3" t="s">
        <v>213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213</v>
      </c>
      <c r="D607" s="3"/>
      <c r="E607" s="3" t="s">
        <v>213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213</v>
      </c>
      <c r="D608" s="3"/>
      <c r="E608" s="3" t="s">
        <v>213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0.35199999999999998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213</v>
      </c>
      <c r="D609" s="3"/>
      <c r="E609" s="3" t="s">
        <v>213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19.355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213</v>
      </c>
      <c r="D610" s="3"/>
      <c r="E610" s="3" t="s">
        <v>213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119.032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213</v>
      </c>
      <c r="D611" s="3"/>
      <c r="E611" s="3" t="s">
        <v>213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113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213</v>
      </c>
      <c r="D612" s="3"/>
      <c r="E612" s="3" t="s">
        <v>213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213</v>
      </c>
      <c r="D613" s="3"/>
      <c r="E613" s="3" t="s">
        <v>213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213</v>
      </c>
      <c r="D614" s="3"/>
      <c r="E614" s="3" t="s">
        <v>213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213</v>
      </c>
      <c r="D615" s="3"/>
      <c r="E615" s="3" t="s">
        <v>213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0.78400000000000003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213</v>
      </c>
      <c r="D616" s="3"/>
      <c r="E616" s="3" t="s">
        <v>213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214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215</v>
      </c>
      <c r="D617" s="3"/>
      <c r="E617" s="3" t="s">
        <v>215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215</v>
      </c>
      <c r="D618" s="3"/>
      <c r="E618" s="3" t="s">
        <v>215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215</v>
      </c>
      <c r="D619" s="3"/>
      <c r="E619" s="3" t="s">
        <v>215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215</v>
      </c>
      <c r="D620" s="3"/>
      <c r="E620" s="3" t="s">
        <v>215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0.442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215</v>
      </c>
      <c r="D621" s="3"/>
      <c r="E621" s="3" t="s">
        <v>215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21.184000000000001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215</v>
      </c>
      <c r="D622" s="3"/>
      <c r="E622" s="3" t="s">
        <v>215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130.279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215</v>
      </c>
      <c r="D623" s="3"/>
      <c r="E623" s="3" t="s">
        <v>215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113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215</v>
      </c>
      <c r="D624" s="3"/>
      <c r="E624" s="3" t="s">
        <v>215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215</v>
      </c>
      <c r="D625" s="3"/>
      <c r="E625" s="3" t="s">
        <v>215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215</v>
      </c>
      <c r="D626" s="3"/>
      <c r="E626" s="3" t="s">
        <v>215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215</v>
      </c>
      <c r="D627" s="3"/>
      <c r="E627" s="3" t="s">
        <v>215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0.94599999999999995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215</v>
      </c>
      <c r="D628" s="3"/>
      <c r="E628" s="3" t="s">
        <v>215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217</v>
      </c>
      <c r="D629" s="3"/>
      <c r="E629" s="3" t="s">
        <v>217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217</v>
      </c>
      <c r="D630" s="3"/>
      <c r="E630" s="3" t="s">
        <v>217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217</v>
      </c>
      <c r="D631" s="3"/>
      <c r="E631" s="3" t="s">
        <v>217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217</v>
      </c>
      <c r="D632" s="3"/>
      <c r="E632" s="3" t="s">
        <v>217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0.48699999999999999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217</v>
      </c>
      <c r="D633" s="3"/>
      <c r="E633" s="3" t="s">
        <v>217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22.097999999999999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217</v>
      </c>
      <c r="D634" s="3"/>
      <c r="E634" s="3" t="s">
        <v>217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135.90299999999999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217</v>
      </c>
      <c r="D635" s="3"/>
      <c r="E635" s="3" t="s">
        <v>217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113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217</v>
      </c>
      <c r="D636" s="3"/>
      <c r="E636" s="3" t="s">
        <v>217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217</v>
      </c>
      <c r="D637" s="3"/>
      <c r="E637" s="3" t="s">
        <v>217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217</v>
      </c>
      <c r="D638" s="3"/>
      <c r="E638" s="3" t="s">
        <v>217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217</v>
      </c>
      <c r="D639" s="3"/>
      <c r="E639" s="3" t="s">
        <v>217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1.0269999999999999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217</v>
      </c>
      <c r="D640" s="3"/>
      <c r="E640" s="3" t="s">
        <v>217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218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219</v>
      </c>
      <c r="D641" s="3"/>
      <c r="E641" s="3" t="s">
        <v>219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219</v>
      </c>
      <c r="D642" s="3"/>
      <c r="E642" s="3" t="s">
        <v>219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219</v>
      </c>
      <c r="D643" s="3"/>
      <c r="E643" s="3" t="s">
        <v>219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219</v>
      </c>
      <c r="D644" s="3"/>
      <c r="E644" s="3" t="s">
        <v>219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0.53200000000000003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219</v>
      </c>
      <c r="D645" s="3"/>
      <c r="E645" s="3" t="s">
        <v>219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23.012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219</v>
      </c>
      <c r="D646" s="3"/>
      <c r="E646" s="3" t="s">
        <v>219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141.52600000000001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219</v>
      </c>
      <c r="D647" s="3"/>
      <c r="E647" s="3" t="s">
        <v>219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113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219</v>
      </c>
      <c r="D648" s="3"/>
      <c r="E648" s="3" t="s">
        <v>219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219</v>
      </c>
      <c r="D649" s="3"/>
      <c r="E649" s="3" t="s">
        <v>219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219</v>
      </c>
      <c r="D650" s="3"/>
      <c r="E650" s="3" t="s">
        <v>219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219</v>
      </c>
      <c r="D651" s="3"/>
      <c r="E651" s="3" t="s">
        <v>219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1.1080000000000001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219</v>
      </c>
      <c r="D652" s="3"/>
      <c r="E652" s="3" t="s">
        <v>219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221</v>
      </c>
      <c r="D653" s="3"/>
      <c r="E653" s="3" t="s">
        <v>221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221</v>
      </c>
      <c r="D654" s="3"/>
      <c r="E654" s="3" t="s">
        <v>221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221</v>
      </c>
      <c r="D655" s="3"/>
      <c r="E655" s="3" t="s">
        <v>221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221</v>
      </c>
      <c r="D656" s="3"/>
      <c r="E656" s="3" t="s">
        <v>221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0.22600000000000001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221</v>
      </c>
      <c r="D657" s="3"/>
      <c r="E657" s="3" t="s">
        <v>221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17.068999999999999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221</v>
      </c>
      <c r="D658" s="3"/>
      <c r="E658" s="3" t="s">
        <v>221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104.973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221</v>
      </c>
      <c r="D659" s="3"/>
      <c r="E659" s="3" t="s">
        <v>221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113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221</v>
      </c>
      <c r="D660" s="3"/>
      <c r="E660" s="3" t="s">
        <v>221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221</v>
      </c>
      <c r="D661" s="3"/>
      <c r="E661" s="3" t="s">
        <v>221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221</v>
      </c>
      <c r="D662" s="3"/>
      <c r="E662" s="3" t="s">
        <v>221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221</v>
      </c>
      <c r="D663" s="3"/>
      <c r="E663" s="3" t="s">
        <v>221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0.54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221</v>
      </c>
      <c r="D664" s="3"/>
      <c r="E664" s="3" t="s">
        <v>221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223</v>
      </c>
      <c r="D665" s="3"/>
      <c r="E665" s="3" t="s">
        <v>223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223</v>
      </c>
      <c r="D666" s="3"/>
      <c r="E666" s="3" t="s">
        <v>223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223</v>
      </c>
      <c r="D667" s="3"/>
      <c r="E667" s="3" t="s">
        <v>223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223</v>
      </c>
      <c r="D668" s="3"/>
      <c r="E668" s="3" t="s">
        <v>223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0.27300000000000002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223</v>
      </c>
      <c r="D669" s="3"/>
      <c r="E669" s="3" t="s">
        <v>223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17.983000000000001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223</v>
      </c>
      <c r="D670" s="3"/>
      <c r="E670" s="3" t="s">
        <v>223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110.59699999999999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223</v>
      </c>
      <c r="D671" s="3"/>
      <c r="E671" s="3" t="s">
        <v>223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113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223</v>
      </c>
      <c r="D672" s="3"/>
      <c r="E672" s="3" t="s">
        <v>223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223</v>
      </c>
      <c r="D673" s="3"/>
      <c r="E673" s="3" t="s">
        <v>223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223</v>
      </c>
      <c r="D674" s="3"/>
      <c r="E674" s="3" t="s">
        <v>223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223</v>
      </c>
      <c r="D675" s="3"/>
      <c r="E675" s="3" t="s">
        <v>223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0.622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223</v>
      </c>
      <c r="D676" s="3"/>
      <c r="E676" s="3" t="s">
        <v>223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225</v>
      </c>
      <c r="D677" s="3"/>
      <c r="E677" s="3" t="s">
        <v>225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225</v>
      </c>
      <c r="D678" s="3"/>
      <c r="E678" s="3" t="s">
        <v>225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225</v>
      </c>
      <c r="D679" s="3"/>
      <c r="E679" s="3" t="s">
        <v>225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225</v>
      </c>
      <c r="D680" s="3"/>
      <c r="E680" s="3" t="s">
        <v>225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0.32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225</v>
      </c>
      <c r="D681" s="3"/>
      <c r="E681" s="3" t="s">
        <v>225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18.898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225</v>
      </c>
      <c r="D682" s="3"/>
      <c r="E682" s="3" t="s">
        <v>225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116.22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225</v>
      </c>
      <c r="D683" s="3"/>
      <c r="E683" s="3" t="s">
        <v>225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113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225</v>
      </c>
      <c r="D684" s="3"/>
      <c r="E684" s="3" t="s">
        <v>225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225</v>
      </c>
      <c r="D685" s="3"/>
      <c r="E685" s="3" t="s">
        <v>225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225</v>
      </c>
      <c r="D686" s="3"/>
      <c r="E686" s="3" t="s">
        <v>225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225</v>
      </c>
      <c r="D687" s="3"/>
      <c r="E687" s="3" t="s">
        <v>225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0.70299999999999996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225</v>
      </c>
      <c r="D688" s="3"/>
      <c r="E688" s="3" t="s">
        <v>225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227</v>
      </c>
      <c r="D689" s="3"/>
      <c r="E689" s="3" t="s">
        <v>227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227</v>
      </c>
      <c r="D690" s="3"/>
      <c r="E690" s="3" t="s">
        <v>227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227</v>
      </c>
      <c r="D691" s="3"/>
      <c r="E691" s="3" t="s">
        <v>227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227</v>
      </c>
      <c r="D692" s="3"/>
      <c r="E692" s="3" t="s">
        <v>227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0.36599999999999999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227</v>
      </c>
      <c r="D693" s="3"/>
      <c r="E693" s="3" t="s">
        <v>227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19.812000000000001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227</v>
      </c>
      <c r="D694" s="3"/>
      <c r="E694" s="3" t="s">
        <v>227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121.84399999999999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227</v>
      </c>
      <c r="D695" s="3"/>
      <c r="E695" s="3" t="s">
        <v>227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113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227</v>
      </c>
      <c r="D696" s="3"/>
      <c r="E696" s="3" t="s">
        <v>227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227</v>
      </c>
      <c r="D697" s="3"/>
      <c r="E697" s="3" t="s">
        <v>227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227</v>
      </c>
      <c r="D698" s="3"/>
      <c r="E698" s="3" t="s">
        <v>227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227</v>
      </c>
      <c r="D699" s="3"/>
      <c r="E699" s="3" t="s">
        <v>227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0.78400000000000003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227</v>
      </c>
      <c r="D700" s="3"/>
      <c r="E700" s="3" t="s">
        <v>227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228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229</v>
      </c>
      <c r="D701" s="3"/>
      <c r="E701" s="3" t="s">
        <v>229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229</v>
      </c>
      <c r="D702" s="3"/>
      <c r="E702" s="3" t="s">
        <v>229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229</v>
      </c>
      <c r="D703" s="3"/>
      <c r="E703" s="3" t="s">
        <v>229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229</v>
      </c>
      <c r="D704" s="3"/>
      <c r="E704" s="3" t="s">
        <v>229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0.46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229</v>
      </c>
      <c r="D705" s="3"/>
      <c r="E705" s="3" t="s">
        <v>229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21.640999999999998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229</v>
      </c>
      <c r="D706" s="3"/>
      <c r="E706" s="3" t="s">
        <v>229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133.09100000000001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229</v>
      </c>
      <c r="D707" s="3"/>
      <c r="E707" s="3" t="s">
        <v>229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113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229</v>
      </c>
      <c r="D708" s="3"/>
      <c r="E708" s="3" t="s">
        <v>229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229</v>
      </c>
      <c r="D709" s="3"/>
      <c r="E709" s="3" t="s">
        <v>229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229</v>
      </c>
      <c r="D710" s="3"/>
      <c r="E710" s="3" t="s">
        <v>229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229</v>
      </c>
      <c r="D711" s="3"/>
      <c r="E711" s="3" t="s">
        <v>229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0.94599999999999995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229</v>
      </c>
      <c r="D712" s="3"/>
      <c r="E712" s="3" t="s">
        <v>229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230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231</v>
      </c>
      <c r="D713" s="3"/>
      <c r="E713" s="3" t="s">
        <v>231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231</v>
      </c>
      <c r="D714" s="3"/>
      <c r="E714" s="3" t="s">
        <v>231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231</v>
      </c>
      <c r="D715" s="3"/>
      <c r="E715" s="3" t="s">
        <v>231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231</v>
      </c>
      <c r="D716" s="3"/>
      <c r="E716" s="3" t="s">
        <v>231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0.50700000000000001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231</v>
      </c>
      <c r="D717" s="3"/>
      <c r="E717" s="3" t="s">
        <v>231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22.555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231</v>
      </c>
      <c r="D718" s="3"/>
      <c r="E718" s="3" t="s">
        <v>231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138.714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231</v>
      </c>
      <c r="D719" s="3"/>
      <c r="E719" s="3" t="s">
        <v>231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113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231</v>
      </c>
      <c r="D720" s="3"/>
      <c r="E720" s="3" t="s">
        <v>231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231</v>
      </c>
      <c r="D721" s="3"/>
      <c r="E721" s="3" t="s">
        <v>231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231</v>
      </c>
      <c r="D722" s="3"/>
      <c r="E722" s="3" t="s">
        <v>231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231</v>
      </c>
      <c r="D723" s="3"/>
      <c r="E723" s="3" t="s">
        <v>231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1.0269999999999999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231</v>
      </c>
      <c r="D724" s="3"/>
      <c r="E724" s="3" t="s">
        <v>231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232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233</v>
      </c>
      <c r="D725" s="3"/>
      <c r="E725" s="3" t="s">
        <v>233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233</v>
      </c>
      <c r="D726" s="3"/>
      <c r="E726" s="3" t="s">
        <v>233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233</v>
      </c>
      <c r="D727" s="3"/>
      <c r="E727" s="3" t="s">
        <v>233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233</v>
      </c>
      <c r="D728" s="3"/>
      <c r="E728" s="3" t="s">
        <v>233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0.55400000000000005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233</v>
      </c>
      <c r="D729" s="3"/>
      <c r="E729" s="3" t="s">
        <v>233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23.47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233</v>
      </c>
      <c r="D730" s="3"/>
      <c r="E730" s="3" t="s">
        <v>233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144.33799999999999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233</v>
      </c>
      <c r="D731" s="3"/>
      <c r="E731" s="3" t="s">
        <v>233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113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233</v>
      </c>
      <c r="D732" s="3"/>
      <c r="E732" s="3" t="s">
        <v>233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233</v>
      </c>
      <c r="D733" s="3"/>
      <c r="E733" s="3" t="s">
        <v>233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233</v>
      </c>
      <c r="D734" s="3"/>
      <c r="E734" s="3" t="s">
        <v>233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233</v>
      </c>
      <c r="D735" s="3"/>
      <c r="E735" s="3" t="s">
        <v>233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1.1080000000000001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233</v>
      </c>
      <c r="D736" s="3"/>
      <c r="E736" s="3" t="s">
        <v>233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235</v>
      </c>
      <c r="D737" s="3"/>
      <c r="E737" s="3" t="s">
        <v>235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235</v>
      </c>
      <c r="D738" s="3"/>
      <c r="E738" s="3" t="s">
        <v>235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235</v>
      </c>
      <c r="D739" s="3"/>
      <c r="E739" s="3" t="s">
        <v>235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235</v>
      </c>
      <c r="D740" s="3"/>
      <c r="E740" s="3" t="s">
        <v>235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0.23200000000000001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235</v>
      </c>
      <c r="D741" s="3"/>
      <c r="E741" s="3" t="s">
        <v>235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17.373999999999999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235</v>
      </c>
      <c r="D742" s="3"/>
      <c r="E742" s="3" t="s">
        <v>235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106.848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235</v>
      </c>
      <c r="D743" s="3"/>
      <c r="E743" s="3" t="s">
        <v>235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113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235</v>
      </c>
      <c r="D744" s="3"/>
      <c r="E744" s="3" t="s">
        <v>235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235</v>
      </c>
      <c r="D745" s="3"/>
      <c r="E745" s="3" t="s">
        <v>235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235</v>
      </c>
      <c r="D746" s="3"/>
      <c r="E746" s="3" t="s">
        <v>235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235</v>
      </c>
      <c r="D747" s="3"/>
      <c r="E747" s="3" t="s">
        <v>235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1.216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235</v>
      </c>
      <c r="D748" s="3"/>
      <c r="E748" s="3" t="s">
        <v>235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236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237</v>
      </c>
      <c r="D749" s="3"/>
      <c r="E749" s="3" t="s">
        <v>237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237</v>
      </c>
      <c r="D750" s="3"/>
      <c r="E750" s="3" t="s">
        <v>237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237</v>
      </c>
      <c r="D751" s="3"/>
      <c r="E751" s="3" t="s">
        <v>237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237</v>
      </c>
      <c r="D752" s="3"/>
      <c r="E752" s="3" t="s">
        <v>237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0.28000000000000003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237</v>
      </c>
      <c r="D753" s="3"/>
      <c r="E753" s="3" t="s">
        <v>237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18.288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237</v>
      </c>
      <c r="D754" s="3"/>
      <c r="E754" s="3" t="s">
        <v>237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112.471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237</v>
      </c>
      <c r="D755" s="3"/>
      <c r="E755" s="3" t="s">
        <v>237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113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237</v>
      </c>
      <c r="D756" s="3"/>
      <c r="E756" s="3" t="s">
        <v>237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237</v>
      </c>
      <c r="D757" s="3"/>
      <c r="E757" s="3" t="s">
        <v>237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237</v>
      </c>
      <c r="D758" s="3"/>
      <c r="E758" s="3" t="s">
        <v>237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237</v>
      </c>
      <c r="D759" s="3"/>
      <c r="E759" s="3" t="s">
        <v>237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1.216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237</v>
      </c>
      <c r="D760" s="3"/>
      <c r="E760" s="3" t="s">
        <v>237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238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239</v>
      </c>
      <c r="D761" s="3"/>
      <c r="E761" s="3" t="s">
        <v>239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239</v>
      </c>
      <c r="D762" s="3"/>
      <c r="E762" s="3" t="s">
        <v>239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239</v>
      </c>
      <c r="D763" s="3"/>
      <c r="E763" s="3" t="s">
        <v>239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239</v>
      </c>
      <c r="D764" s="3"/>
      <c r="E764" s="3" t="s">
        <v>239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0.32800000000000001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239</v>
      </c>
      <c r="D765" s="3"/>
      <c r="E765" s="3" t="s">
        <v>239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19.202000000000002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239</v>
      </c>
      <c r="D766" s="3"/>
      <c r="E766" s="3" t="s">
        <v>239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118.095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239</v>
      </c>
      <c r="D767" s="3"/>
      <c r="E767" s="3" t="s">
        <v>239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113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239</v>
      </c>
      <c r="D768" s="3"/>
      <c r="E768" s="3" t="s">
        <v>239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239</v>
      </c>
      <c r="D769" s="3"/>
      <c r="E769" s="3" t="s">
        <v>239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239</v>
      </c>
      <c r="D770" s="3"/>
      <c r="E770" s="3" t="s">
        <v>239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239</v>
      </c>
      <c r="D771" s="3"/>
      <c r="E771" s="3" t="s">
        <v>239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1.216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239</v>
      </c>
      <c r="D772" s="3"/>
      <c r="E772" s="3" t="s">
        <v>239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240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241</v>
      </c>
      <c r="D773" s="3"/>
      <c r="E773" s="3" t="s">
        <v>241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241</v>
      </c>
      <c r="D774" s="3"/>
      <c r="E774" s="3" t="s">
        <v>241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241</v>
      </c>
      <c r="D775" s="3"/>
      <c r="E775" s="3" t="s">
        <v>241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241</v>
      </c>
      <c r="D776" s="3"/>
      <c r="E776" s="3" t="s">
        <v>241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0.376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241</v>
      </c>
      <c r="D777" s="3"/>
      <c r="E777" s="3" t="s">
        <v>241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20.117000000000001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241</v>
      </c>
      <c r="D778" s="3"/>
      <c r="E778" s="3" t="s">
        <v>241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123.718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241</v>
      </c>
      <c r="D779" s="3"/>
      <c r="E779" s="3" t="s">
        <v>241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113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241</v>
      </c>
      <c r="D780" s="3"/>
      <c r="E780" s="3" t="s">
        <v>241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241</v>
      </c>
      <c r="D781" s="3"/>
      <c r="E781" s="3" t="s">
        <v>241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241</v>
      </c>
      <c r="D782" s="3"/>
      <c r="E782" s="3" t="s">
        <v>241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241</v>
      </c>
      <c r="D783" s="3"/>
      <c r="E783" s="3" t="s">
        <v>241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1.216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241</v>
      </c>
      <c r="D784" s="3"/>
      <c r="E784" s="3" t="s">
        <v>241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242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243</v>
      </c>
      <c r="D785" s="3"/>
      <c r="E785" s="3" t="s">
        <v>243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243</v>
      </c>
      <c r="D786" s="3"/>
      <c r="E786" s="3" t="s">
        <v>243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243</v>
      </c>
      <c r="D787" s="3"/>
      <c r="E787" s="3" t="s">
        <v>243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243</v>
      </c>
      <c r="D788" s="3"/>
      <c r="E788" s="3" t="s">
        <v>243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0.47199999999999998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243</v>
      </c>
      <c r="D789" s="3"/>
      <c r="E789" s="3" t="s">
        <v>243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21.946000000000002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243</v>
      </c>
      <c r="D790" s="3"/>
      <c r="E790" s="3" t="s">
        <v>243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134.965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243</v>
      </c>
      <c r="D791" s="3"/>
      <c r="E791" s="3" t="s">
        <v>243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113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243</v>
      </c>
      <c r="D792" s="3"/>
      <c r="E792" s="3" t="s">
        <v>243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243</v>
      </c>
      <c r="D793" s="3"/>
      <c r="E793" s="3" t="s">
        <v>243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243</v>
      </c>
      <c r="D794" s="3"/>
      <c r="E794" s="3" t="s">
        <v>243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243</v>
      </c>
      <c r="D795" s="3"/>
      <c r="E795" s="3" t="s">
        <v>243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1.216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243</v>
      </c>
      <c r="D796" s="3"/>
      <c r="E796" s="3" t="s">
        <v>243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244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245</v>
      </c>
      <c r="D797" s="3"/>
      <c r="E797" s="3" t="s">
        <v>245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245</v>
      </c>
      <c r="D798" s="3"/>
      <c r="E798" s="3" t="s">
        <v>245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245</v>
      </c>
      <c r="D799" s="3"/>
      <c r="E799" s="3" t="s">
        <v>245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245</v>
      </c>
      <c r="D800" s="3"/>
      <c r="E800" s="3" t="s">
        <v>245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0.52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245</v>
      </c>
      <c r="D801" s="3"/>
      <c r="E801" s="3" t="s">
        <v>245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22.86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245</v>
      </c>
      <c r="D802" s="3"/>
      <c r="E802" s="3" t="s">
        <v>245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140.589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245</v>
      </c>
      <c r="D803" s="3"/>
      <c r="E803" s="3" t="s">
        <v>245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113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245</v>
      </c>
      <c r="D804" s="3"/>
      <c r="E804" s="3" t="s">
        <v>245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245</v>
      </c>
      <c r="D805" s="3"/>
      <c r="E805" s="3" t="s">
        <v>245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245</v>
      </c>
      <c r="D806" s="3"/>
      <c r="E806" s="3" t="s">
        <v>245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245</v>
      </c>
      <c r="D807" s="3"/>
      <c r="E807" s="3" t="s">
        <v>245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1.216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245</v>
      </c>
      <c r="D808" s="3"/>
      <c r="E808" s="3" t="s">
        <v>245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246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247</v>
      </c>
      <c r="D809" s="3"/>
      <c r="E809" s="3" t="s">
        <v>247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330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247</v>
      </c>
      <c r="D810" s="3"/>
      <c r="E810" s="3" t="s">
        <v>247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247</v>
      </c>
      <c r="D811" s="3"/>
      <c r="E811" s="3" t="s">
        <v>247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247</v>
      </c>
      <c r="D812" s="3"/>
      <c r="E812" s="3" t="s">
        <v>247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0.56799999999999995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247</v>
      </c>
      <c r="D813" s="3"/>
      <c r="E813" s="3" t="s">
        <v>247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23.774000000000001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247</v>
      </c>
      <c r="D814" s="3"/>
      <c r="E814" s="3" t="s">
        <v>247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146.21299999999999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247</v>
      </c>
      <c r="D815" s="3"/>
      <c r="E815" s="3" t="s">
        <v>247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113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247</v>
      </c>
      <c r="D816" s="3"/>
      <c r="E816" s="3" t="s">
        <v>247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247</v>
      </c>
      <c r="D817" s="3"/>
      <c r="E817" s="3" t="s">
        <v>247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247</v>
      </c>
      <c r="D818" s="3"/>
      <c r="E818" s="3" t="s">
        <v>247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247</v>
      </c>
      <c r="D819" s="3"/>
      <c r="E819" s="3" t="s">
        <v>247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1.216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247</v>
      </c>
      <c r="D820" s="3"/>
      <c r="E820" s="3" t="s">
        <v>247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248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249</v>
      </c>
      <c r="D821" s="3"/>
      <c r="E821" s="3" t="s">
        <v>249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249</v>
      </c>
      <c r="D822" s="3"/>
      <c r="E822" s="3" t="s">
        <v>249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249</v>
      </c>
      <c r="D823" s="3"/>
      <c r="E823" s="3" t="s">
        <v>249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249</v>
      </c>
      <c r="D824" s="3"/>
      <c r="E824" s="3" t="s">
        <v>249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0.24399999999999999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249</v>
      </c>
      <c r="D825" s="3"/>
      <c r="E825" s="3" t="s">
        <v>249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17.983000000000001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249</v>
      </c>
      <c r="D826" s="3"/>
      <c r="E826" s="3" t="s">
        <v>249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110.59699999999999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249</v>
      </c>
      <c r="D827" s="3"/>
      <c r="E827" s="3" t="s">
        <v>249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113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249</v>
      </c>
      <c r="D828" s="3"/>
      <c r="E828" s="3" t="s">
        <v>249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249</v>
      </c>
      <c r="D829" s="3"/>
      <c r="E829" s="3" t="s">
        <v>249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249</v>
      </c>
      <c r="D830" s="3"/>
      <c r="E830" s="3" t="s">
        <v>249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249</v>
      </c>
      <c r="D831" s="3"/>
      <c r="E831" s="3" t="s">
        <v>249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1.27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249</v>
      </c>
      <c r="D832" s="3"/>
      <c r="E832" s="3" t="s">
        <v>249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250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251</v>
      </c>
      <c r="D833" s="3"/>
      <c r="E833" s="3" t="s">
        <v>251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251</v>
      </c>
      <c r="D834" s="3"/>
      <c r="E834" s="3" t="s">
        <v>251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251</v>
      </c>
      <c r="D835" s="3"/>
      <c r="E835" s="3" t="s">
        <v>251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251</v>
      </c>
      <c r="D836" s="3"/>
      <c r="E836" s="3" t="s">
        <v>251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0.29399999999999998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251</v>
      </c>
      <c r="D837" s="3"/>
      <c r="E837" s="3" t="s">
        <v>251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18.898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251</v>
      </c>
      <c r="D838" s="3"/>
      <c r="E838" s="3" t="s">
        <v>251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116.22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251</v>
      </c>
      <c r="D839" s="3"/>
      <c r="E839" s="3" t="s">
        <v>251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251</v>
      </c>
      <c r="D840" s="3"/>
      <c r="E840" s="3" t="s">
        <v>251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251</v>
      </c>
      <c r="D841" s="3"/>
      <c r="E841" s="3" t="s">
        <v>251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251</v>
      </c>
      <c r="D842" s="3"/>
      <c r="E842" s="3" t="s">
        <v>251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251</v>
      </c>
      <c r="D843" s="3"/>
      <c r="E843" s="3" t="s">
        <v>251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1.27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251</v>
      </c>
      <c r="D844" s="3"/>
      <c r="E844" s="3" t="s">
        <v>251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253</v>
      </c>
      <c r="D845" s="3"/>
      <c r="E845" s="3" t="s">
        <v>253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253</v>
      </c>
      <c r="D846" s="3"/>
      <c r="E846" s="3" t="s">
        <v>253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253</v>
      </c>
      <c r="D847" s="3"/>
      <c r="E847" s="3" t="s">
        <v>253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253</v>
      </c>
      <c r="D848" s="3"/>
      <c r="E848" s="3" t="s">
        <v>253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0.34499999999999997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253</v>
      </c>
      <c r="D849" s="3"/>
      <c r="E849" s="3" t="s">
        <v>253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19.812000000000001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253</v>
      </c>
      <c r="D850" s="3"/>
      <c r="E850" s="3" t="s">
        <v>253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121.84399999999999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253</v>
      </c>
      <c r="D851" s="3"/>
      <c r="E851" s="3" t="s">
        <v>253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113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253</v>
      </c>
      <c r="D852" s="3"/>
      <c r="E852" s="3" t="s">
        <v>253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253</v>
      </c>
      <c r="D853" s="3"/>
      <c r="E853" s="3" t="s">
        <v>253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253</v>
      </c>
      <c r="D854" s="3"/>
      <c r="E854" s="3" t="s">
        <v>253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253</v>
      </c>
      <c r="D855" s="3"/>
      <c r="E855" s="3" t="s">
        <v>253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1.27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253</v>
      </c>
      <c r="D856" s="3"/>
      <c r="E856" s="3" t="s">
        <v>253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255</v>
      </c>
      <c r="D857" s="3"/>
      <c r="E857" s="3" t="s">
        <v>255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255</v>
      </c>
      <c r="D858" s="3"/>
      <c r="E858" s="3" t="s">
        <v>255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255</v>
      </c>
      <c r="D859" s="3"/>
      <c r="E859" s="3" t="s">
        <v>255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255</v>
      </c>
      <c r="D860" s="3"/>
      <c r="E860" s="3" t="s">
        <v>255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0.39500000000000002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255</v>
      </c>
      <c r="D861" s="3"/>
      <c r="E861" s="3" t="s">
        <v>255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20.725999999999999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255</v>
      </c>
      <c r="D862" s="3"/>
      <c r="E862" s="3" t="s">
        <v>255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127.467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255</v>
      </c>
      <c r="D863" s="3"/>
      <c r="E863" s="3" t="s">
        <v>255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113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255</v>
      </c>
      <c r="D864" s="3"/>
      <c r="E864" s="3" t="s">
        <v>255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255</v>
      </c>
      <c r="D865" s="3"/>
      <c r="E865" s="3" t="s">
        <v>255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255</v>
      </c>
      <c r="D866" s="3"/>
      <c r="E866" s="3" t="s">
        <v>255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255</v>
      </c>
      <c r="D867" s="3"/>
      <c r="E867" s="3" t="s">
        <v>255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1.27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255</v>
      </c>
      <c r="D868" s="3"/>
      <c r="E868" s="3" t="s">
        <v>255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256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257</v>
      </c>
      <c r="D869" s="3"/>
      <c r="E869" s="3" t="s">
        <v>257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257</v>
      </c>
      <c r="D870" s="3"/>
      <c r="E870" s="3" t="s">
        <v>257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257</v>
      </c>
      <c r="D871" s="3"/>
      <c r="E871" s="3" t="s">
        <v>257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257</v>
      </c>
      <c r="D872" s="3"/>
      <c r="E872" s="3" t="s">
        <v>257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0.496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257</v>
      </c>
      <c r="D873" s="3"/>
      <c r="E873" s="3" t="s">
        <v>257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22.555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257</v>
      </c>
      <c r="D874" s="3"/>
      <c r="E874" s="3" t="s">
        <v>257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138.714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257</v>
      </c>
      <c r="D875" s="3"/>
      <c r="E875" s="3" t="s">
        <v>257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113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257</v>
      </c>
      <c r="D876" s="3"/>
      <c r="E876" s="3" t="s">
        <v>257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257</v>
      </c>
      <c r="D877" s="3"/>
      <c r="E877" s="3" t="s">
        <v>257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257</v>
      </c>
      <c r="D878" s="3"/>
      <c r="E878" s="3" t="s">
        <v>257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257</v>
      </c>
      <c r="D879" s="3"/>
      <c r="E879" s="3" t="s">
        <v>257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1.27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257</v>
      </c>
      <c r="D880" s="3"/>
      <c r="E880" s="3" t="s">
        <v>257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258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259</v>
      </c>
      <c r="D881" s="3"/>
      <c r="E881" s="3" t="s">
        <v>259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259</v>
      </c>
      <c r="D882" s="3"/>
      <c r="E882" s="3" t="s">
        <v>259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259</v>
      </c>
      <c r="D883" s="3"/>
      <c r="E883" s="3" t="s">
        <v>259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259</v>
      </c>
      <c r="D884" s="3"/>
      <c r="E884" s="3" t="s">
        <v>259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0.54600000000000004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259</v>
      </c>
      <c r="D885" s="3"/>
      <c r="E885" s="3" t="s">
        <v>259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23.47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259</v>
      </c>
      <c r="D886" s="3"/>
      <c r="E886" s="3" t="s">
        <v>259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144.33799999999999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259</v>
      </c>
      <c r="D887" s="3"/>
      <c r="E887" s="3" t="s">
        <v>259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113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259</v>
      </c>
      <c r="D888" s="3"/>
      <c r="E888" s="3" t="s">
        <v>259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259</v>
      </c>
      <c r="D889" s="3"/>
      <c r="E889" s="3" t="s">
        <v>259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259</v>
      </c>
      <c r="D890" s="3"/>
      <c r="E890" s="3" t="s">
        <v>259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259</v>
      </c>
      <c r="D891" s="3"/>
      <c r="E891" s="3" t="s">
        <v>259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1.27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259</v>
      </c>
      <c r="D892" s="3"/>
      <c r="E892" s="3" t="s">
        <v>259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260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261</v>
      </c>
      <c r="D893" s="3"/>
      <c r="E893" s="3" t="s">
        <v>261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261</v>
      </c>
      <c r="D894" s="3"/>
      <c r="E894" s="3" t="s">
        <v>261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261</v>
      </c>
      <c r="D895" s="3"/>
      <c r="E895" s="3" t="s">
        <v>261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261</v>
      </c>
      <c r="D896" s="3"/>
      <c r="E896" s="3" t="s">
        <v>261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0.59699999999999998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261</v>
      </c>
      <c r="D897" s="3"/>
      <c r="E897" s="3" t="s">
        <v>261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24.384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261</v>
      </c>
      <c r="D898" s="3"/>
      <c r="E898" s="3" t="s">
        <v>261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149.96199999999999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261</v>
      </c>
      <c r="D899" s="3"/>
      <c r="E899" s="3" t="s">
        <v>261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113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261</v>
      </c>
      <c r="D900" s="3"/>
      <c r="E900" s="3" t="s">
        <v>261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261</v>
      </c>
      <c r="D901" s="3"/>
      <c r="E901" s="3" t="s">
        <v>261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261</v>
      </c>
      <c r="D902" s="3"/>
      <c r="E902" s="3" t="s">
        <v>261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261</v>
      </c>
      <c r="D903" s="3"/>
      <c r="E903" s="3" t="s">
        <v>261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1.27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261</v>
      </c>
      <c r="D904" s="3"/>
      <c r="E904" s="3" t="s">
        <v>261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2026-06-02T08:45:20Z</dcterms:modified>
</cp:coreProperties>
</file>