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 Pocketed Memoryfoam\FR-PK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3" i="13" l="1"/>
  <c r="G5" i="13" l="1"/>
  <c r="H13" i="13" l="1"/>
  <c r="D13" i="13"/>
  <c r="G12" i="13"/>
  <c r="H12" i="13" s="1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H5" i="13"/>
  <c r="D5" i="13"/>
  <c r="G4" i="13"/>
  <c r="H4" i="13" s="1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<sst xmlns="http://schemas.openxmlformats.org/spreadsheetml/2006/main" count="5597" uniqueCount="233">
  <si>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</si>
  <si>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</si>
  <si>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</si>
  <si>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</si>
  <si>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</si>
  <si>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</si>
  <si>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</si>
  <si>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</si>
  <si>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</si>
  <si>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</si>
  <si>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</si>
  <si>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</si>
  <si>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</si>
  <si>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</si>
  <si>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</si>
  <si>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</si>
  <si>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</si>
  <si>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</si>
  <si>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</si>
  <si>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</si>
  <si>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</si>
  <si>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</si>
  <si>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</si>
  <si>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</si>
  <si>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</si>
  <si>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</si>
  <si>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</si>
  <si>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</si>
  <si>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</si>
  <si>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</si>
  <si>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</si>
  <si>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</si>
  <si>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</si>
  <si>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</si>
  <si>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</si>
  <si>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</si>
  <si>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</si>
  <si>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</si>
  <si>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</si>
  <si>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</si>
  <si>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</si>
  <si>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</si>
  <si>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</si>
  <si>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</si>
  <si>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</si>
  <si>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</si>
  <si>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</si>
  <si>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</si>
  <si>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</si>
  <si>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</si>
  <si>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</si>
  <si>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</si>
  <si>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</si>
  <si>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</si>
  <si>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</si>
  <si>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</si>
  <si>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</si>
  <si>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</si>
  <si>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</si>
  <si>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</si>
  <si>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</si>
  <si>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</si>
  <si>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</si>
  <si>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</si>
  <si>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</si>
  <si>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</si>
  <si>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</si>
  <si>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</si>
  <si>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</si>
  <si>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</si>
  <si>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</si>
  <si>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</si>
  <si>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</si>
  <si>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</si>
  <si>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</si>
  <si>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</si>
  <si>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</si>
  <si>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</si>
  <si>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</si>
  <si>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</si>
  <si>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</si>
  <si>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</si>
  <si>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</si>
  <si>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</si>
  <si>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</si>
  <si>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</si>
  <si>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</si>
  <si>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</si>
  <si>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</si>
  <si>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</si>
  <si>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</si>
  <si>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</si>
  <si>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</si>
  <si>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</si>
  <si>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</si>
  <si>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</si>
  <si>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</si>
  <si>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</si>
  <si>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</si>
  <si>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</si>
  <si>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</si>
  <si>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</si>
  <si>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</si>
  <si>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</si>
  <si>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</si>
  <si>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</si>
  <si>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</si>
  <si>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</si>
  <si>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</si>
  <si>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</si>
  <si>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</si>
  <si>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</si>
  <si>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RTHTMTPKMFRG72X33X10</t>
  </si>
  <si>
    <t>RML-CS-PL-10.5</t>
  </si>
  <si>
    <t>RTHTMTPKMFRG72X39X10</t>
  </si>
  <si>
    <t>RTHTMTPKMFRG72X45X10</t>
  </si>
  <si>
    <t>RTHTMTPKMFRG72X51X10</t>
  </si>
  <si>
    <t>RTHTMTPKMFRG72X54X10</t>
  </si>
  <si>
    <t>RTHTMTPKMFRG72X57X10</t>
  </si>
  <si>
    <t>RTHTMTPKMFRG72X63X10</t>
  </si>
  <si>
    <t>RTHTMTPKMFRG72X69X10</t>
  </si>
  <si>
    <t>RTHTMTPKMFRG75X33X10</t>
  </si>
  <si>
    <t>RTHTMTPKMFRG75X39X10</t>
  </si>
  <si>
    <t>RTHTMTPKMFRG75X45X10</t>
  </si>
  <si>
    <t>RTHTMTPKMFRG75X51X10</t>
  </si>
  <si>
    <t>RTHTMTPKMFRG75X54X10</t>
  </si>
  <si>
    <t>RTHTMTPKMFRG75X57X10</t>
  </si>
  <si>
    <t>RTHTMTPKMFRG75X63X10</t>
  </si>
  <si>
    <t>RTHTMTPKMFRG75X69X10</t>
  </si>
  <si>
    <t>RTHTMTPKMFRG78X33X10</t>
  </si>
  <si>
    <t>RTHTMTPKMFRG78X39X10</t>
  </si>
  <si>
    <t>RTHTMTPKMFRG78X45X10</t>
  </si>
  <si>
    <t>RTHTMTPKMFRG78X51X10</t>
  </si>
  <si>
    <t>RTHTMTPKMFRG78X54X10</t>
  </si>
  <si>
    <t>RTHTMTPKMFRG78X57X10</t>
  </si>
  <si>
    <t>RTHTMTPKMFRG78X63X10</t>
  </si>
  <si>
    <t>RTHTMTPKMFRG78X69X10</t>
  </si>
  <si>
    <t>RTHTMTPKMFRG80X33X10</t>
  </si>
  <si>
    <t>RTHTMTPKMFRG80X39X10</t>
  </si>
  <si>
    <t>RTHTMTPKMFRG80X45X10</t>
  </si>
  <si>
    <t>RTHTMTPKMFRG80X51X10</t>
  </si>
  <si>
    <t>RTHTMTPKMFRG80X54X10</t>
  </si>
  <si>
    <t>RTHTMTPKMFRG80X57X10</t>
  </si>
  <si>
    <t>RTHTMTPKMFRG80X63X10</t>
  </si>
  <si>
    <t>RTHTMTPKMFRG80X69X10</t>
  </si>
  <si>
    <t>RTHTMTPKMFRG84X33X10</t>
  </si>
  <si>
    <t>RTHTMTPKMFRG84X39X10</t>
  </si>
  <si>
    <t>RTHTMTPKMFRG84X45X10</t>
  </si>
  <si>
    <t>RTHTMTPKMFRG84X51X10</t>
  </si>
  <si>
    <t>RTHTMTPKMFRG84X54X10</t>
  </si>
  <si>
    <t>RTHTMTPKMFRG84X57X10</t>
  </si>
  <si>
    <t>RTHTMTPKMFRG84X63X10</t>
  </si>
  <si>
    <t>RTHTMTPKMFRG84X69X10</t>
  </si>
  <si>
    <t>OEPKBOXSR71.50X32.50X220</t>
  </si>
  <si>
    <t>60D-RB-MAT-FOAM-71.50X32.50X15MM</t>
  </si>
  <si>
    <t>OEPKBOXSR71.50X38.50X220</t>
  </si>
  <si>
    <t>60D-RB-MAT-FOAM-71.50X38.50X15MM</t>
  </si>
  <si>
    <t>OEPKBOXSR71.50X44.50X220</t>
  </si>
  <si>
    <t>60D-RB-MAT-FOAM-71.50X44.50X15MM</t>
  </si>
  <si>
    <t>OEPKBOXSR71.50X50.50X220</t>
  </si>
  <si>
    <t>60D-RB-MAT-FOAM-71.50X50.50X15MM</t>
  </si>
  <si>
    <t>OEPKBOXSR71.50X53.50X220</t>
  </si>
  <si>
    <t>60D-RB-MAT-FOAM-71.50X53.50X15MM</t>
  </si>
  <si>
    <t>OEPKBOXSR71.50X56.50X220</t>
  </si>
  <si>
    <t>60D-RB-MAT-FOAM-71.50X56.50X15MM</t>
  </si>
  <si>
    <t>OEPKBOXSR71.50X62.50X220</t>
  </si>
  <si>
    <t>60D-RB-MAT-FOAM-71.50X62.50X15MM</t>
  </si>
  <si>
    <t>OEPKBOXSR71.50X68.50X220</t>
  </si>
  <si>
    <t>60D-RB-MAT-FOAM-71.50X68.50X15MM</t>
  </si>
  <si>
    <t>OEPKBOXSR74.50X32.50X220</t>
  </si>
  <si>
    <t>60D-RB-MAT-FOAM-74.50X32.50X15MM</t>
  </si>
  <si>
    <t>OEPKBOXSR74.50X38.50X220</t>
  </si>
  <si>
    <t>60D-RB-MAT-FOAM-74.50X38.50X15MM</t>
  </si>
  <si>
    <t>OEPKBOXSR74.50X44.50X220</t>
  </si>
  <si>
    <t>60D-RB-MAT-FOAM-74.50X44.50X15MM</t>
  </si>
  <si>
    <t>OEPKBOXSR74.50X50.50X220</t>
  </si>
  <si>
    <t>60D-RB-MAT-FOAM-74.50X50.50X15MM</t>
  </si>
  <si>
    <t>OEPKBOXSR74.50X53.50X220</t>
  </si>
  <si>
    <t>60D-RB-MAT-FOAM-74.50X53.50X15MM</t>
  </si>
  <si>
    <t>OEPKBOXSR74.50X56.50X220</t>
  </si>
  <si>
    <t>60D-RB-MAT-FOAM-74.50X56.50X15MM</t>
  </si>
  <si>
    <t>OEPKBOXSR74.50X62.50X220</t>
  </si>
  <si>
    <t>60D-RB-MAT-FOAM-74.50X62.50X15MM</t>
  </si>
  <si>
    <t>OEPKBOXSR74.50X68.50X220</t>
  </si>
  <si>
    <t>60D-RB-MAT-FOAM-74.50X68.50X15MM</t>
  </si>
  <si>
    <t>OEPKBOXSR77.50X32.50X220</t>
  </si>
  <si>
    <t>60D-RB-MAT-FOAM-77.50X32.50X15MM</t>
  </si>
  <si>
    <t>OEPKBOXSR77.50X38.50X220</t>
  </si>
  <si>
    <t>60D-RB-MAT-FOAM-77.50X38.50X15MM</t>
  </si>
  <si>
    <t>OEPKBOXSR77.50X44.50X220</t>
  </si>
  <si>
    <t>60D-RB-MAT-FOAM-77.50X44.50X15MM</t>
  </si>
  <si>
    <t>OEPKBOXSR77.50X50.50X220</t>
  </si>
  <si>
    <t>60D-RB-MAT-FOAM-77.50X50.50X15MM</t>
  </si>
  <si>
    <t>OEPKBOXSR77.50X53.50X220</t>
  </si>
  <si>
    <t>60D-RB-MAT-FOAM-77.50X53.50X15MM</t>
  </si>
  <si>
    <t>OEPKBOXSR77.50X56.50X220</t>
  </si>
  <si>
    <t>60D-RB-MAT-FOAM-77.50X56.50X15MM</t>
  </si>
  <si>
    <t>OEPKBOXSR77.50X62.50X220</t>
  </si>
  <si>
    <t>60D-RB-MAT-FOAM-77.50X62.50X15MM</t>
  </si>
  <si>
    <t>OEPKBOXSR77.50X68.50X220</t>
  </si>
  <si>
    <t>60D-RB-MAT-FOAM-77.50X68.50X15MM</t>
  </si>
  <si>
    <t>OEPKBOXSR79.50X32.50X220</t>
  </si>
  <si>
    <t>60D-RB-MAT-FOAM-79.50X32.50X15MM</t>
  </si>
  <si>
    <t>OEPKBOXSR79.50X38.50X220</t>
  </si>
  <si>
    <t>60D-RB-MAT-FOAM-79.50X38.50X15MM</t>
  </si>
  <si>
    <t>OEPKBOXSR79.50X44.50X220</t>
  </si>
  <si>
    <t>60D-RB-MAT-FOAM-79.50X44.50X15MM</t>
  </si>
  <si>
    <t>OEPKBOXSR79.50X50.50X220</t>
  </si>
  <si>
    <t>60D-RB-MAT-FOAM-79.50X50.50X15MM</t>
  </si>
  <si>
    <t>OEPKBOXSR79.50X53.50X220</t>
  </si>
  <si>
    <t>60D-RB-MAT-FOAM-79.50X53.50X15MM</t>
  </si>
  <si>
    <t>OEPKBOXSR79.50X56.50X220</t>
  </si>
  <si>
    <t>60D-RB-MAT-FOAM-79.50X56.50X15MM</t>
  </si>
  <si>
    <t>OEPKBOXSR79.50X62.50X220</t>
  </si>
  <si>
    <t>60D-RB-MAT-FOAM-79.50X62.50X15MM</t>
  </si>
  <si>
    <t>OEPKBOXSR79.50X68.50X220</t>
  </si>
  <si>
    <t>60D-RB-MAT-FOAM-79.50X68.50X15MM</t>
  </si>
  <si>
    <t>OEPKBOXSR83.50X32.50X220</t>
  </si>
  <si>
    <t>60D-RB-MAT-FOAM-83.50X32.50X15MM</t>
  </si>
  <si>
    <t>OEPKBOXSR83.50X38.50X220</t>
  </si>
  <si>
    <t>60D-RB-MAT-FOAM-83.50X38.50X15MM</t>
  </si>
  <si>
    <t>OEPKBOXSR83.50X44.50X220</t>
  </si>
  <si>
    <t>60D-RB-MAT-FOAM-83.50X44.50X15MM</t>
  </si>
  <si>
    <t>OEPKBOXSR83.50X50.50X220</t>
  </si>
  <si>
    <t>60D-RB-MAT-FOAM-83.50X50.50X15MM</t>
  </si>
  <si>
    <t>OEPKBOXSR83.50X53.50X220</t>
  </si>
  <si>
    <t>60D-RB-MAT-FOAM-83.50X53.50X15MM</t>
  </si>
  <si>
    <t>OEPKBOXSR83.50X56.50X220</t>
  </si>
  <si>
    <t>60D-RB-MAT-FOAM-83.50X56.50X15MM</t>
  </si>
  <si>
    <t>OEPKBOXSR83.50X62.50X220</t>
  </si>
  <si>
    <t>60D-RB-MAT-FOAM-83.50X62.50X15MM</t>
  </si>
  <si>
    <t>OEPKBOXSR83.50X68.50X220</t>
  </si>
  <si>
    <t>60D-RB-MAT-FOAM-83.50X68.50X15MM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</si>
</sst>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8" sqref="E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"RTHTMTPKMFRG"&amp;$K$2&amp;"X"&amp;$L$2&amp;"X"&amp;IF($M$2&gt;9,$M$2,"0"&amp;$M$2)</f>
        <v>RTHTMTPKMFRG75X36X10</v>
      </c>
      <c r="E2" s="1" t="str">
        <f>"OEPKBOXSR"&amp;(K2-0.5)&amp;"0"&amp;"X"&amp;(L2-0.5)&amp;"0"&amp;"X"&amp;IF(M2=6,"110",IF(M2=8,"160",IF(M2&gt;9,"220",0)))</f>
        <v>OEPKBOXSR74.50X35.50X220</v>
      </c>
      <c r="F2" s="11" t="s">
        <v>11</v>
      </c>
      <c r="G2" s="10">
        <v>1</v>
      </c>
      <c r="H2" s="10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7">
        <v>10</v>
      </c>
      <c r="N2" s="6" t="s">
        <v>108</v>
      </c>
      <c r="P2" s="4" t="s">
        <v>91</v>
      </c>
      <c r="R2" s="34" t="s">
        <v>92</v>
      </c>
      <c r="S2" s="34" t="s">
        <v>93</v>
      </c>
      <c r="T2" s="34">
        <v>10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3" si="1">"RTHTMTPKMFRG"&amp;$K$2&amp;"X"&amp;$L$2&amp;"X"&amp;IF($M$2&gt;9,$M$2,"0"&amp;$M$2)</f>
        <v>RTHTMTPKMFRG75X36X10</v>
      </c>
      <c r="E3" s="19" t="s">
        <v>109</v>
      </c>
      <c r="F3" s="11" t="s">
        <v>15</v>
      </c>
      <c r="G3" s="26">
        <f>IF(K2&lt;79,(L2+1),(K2+1))*0.0254</f>
        <v>0.93979999999999997</v>
      </c>
      <c r="H3" s="10">
        <f t="shared" ref="H3" si="2">ROUND(G3,3)</f>
        <v>0.94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10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RTHTMTPKMFRG75X36X10</v>
      </c>
      <c r="E4" s="40" t="s">
        <v>110</v>
      </c>
      <c r="F4" s="11" t="s">
        <v>15</v>
      </c>
      <c r="G4" s="10">
        <f>IF(K2&lt;79,(L2+1),(K2+1))*0.0254</f>
        <v>0.93979999999999997</v>
      </c>
      <c r="H4" s="10">
        <f t="shared" ref="H4:H13" si="3">ROUND(G4,3)</f>
        <v>0.94</v>
      </c>
      <c r="I4" s="20" t="s">
        <v>16</v>
      </c>
      <c r="J4" s="12"/>
      <c r="O4" s="18"/>
      <c r="R4" s="34" t="s">
        <v>92</v>
      </c>
      <c r="S4" s="34" t="s">
        <v>95</v>
      </c>
      <c r="T4" s="34">
        <v>10</v>
      </c>
      <c r="U4" s="35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RTHTMTPKMFRG75X36X10</v>
      </c>
      <c r="E5" s="21" t="s">
        <v>105</v>
      </c>
      <c r="F5" s="15" t="s">
        <v>106</v>
      </c>
      <c r="G5" s="23">
        <f>((K2-1)*(L2-1)/144)*0.00729*3</f>
        <v>0.39335624999999996</v>
      </c>
      <c r="H5" s="10">
        <f t="shared" si="3"/>
        <v>0.39300000000000002</v>
      </c>
      <c r="I5" s="8" t="s">
        <v>14</v>
      </c>
      <c r="J5" s="12"/>
      <c r="O5" s="18"/>
      <c r="R5" s="34" t="s">
        <v>92</v>
      </c>
      <c r="S5" s="34" t="s">
        <v>96</v>
      </c>
      <c r="T5" s="34">
        <v>10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RTHTMTPKMFRG75X36X10</v>
      </c>
      <c r="E6" s="21" t="s">
        <v>107</v>
      </c>
      <c r="F6" s="11" t="s">
        <v>15</v>
      </c>
      <c r="G6" s="10">
        <f>(K2+L2+4)*2*0.0254*2</f>
        <v>11.683999999999999</v>
      </c>
      <c r="H6" s="10">
        <f t="shared" si="3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10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RTHTMTPKMFRG75X36X10</v>
      </c>
      <c r="E7" s="21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10</v>
      </c>
      <c r="U7" s="35" t="s">
        <v>108</v>
      </c>
    </row>
    <row r="8" spans="1:21" x14ac:dyDescent="0.25">
      <c r="A8" s="36">
        <v>7</v>
      </c>
      <c r="B8" s="7" t="s">
        <v>20</v>
      </c>
      <c r="C8" s="9" t="s">
        <v>20</v>
      </c>
      <c r="D8" s="7" t="str">
        <f t="shared" si="1"/>
        <v>RTHTMTPKMFRG75X36X10</v>
      </c>
      <c r="E8" s="21" t="str">
        <f>IF(M2=6,"RML-CS-PL-6.5""",IF(M2=8,"RML-CS-PL-8.5",IF(M2=10,"RML-CS-PL-10.5",IF(M2=12,"RML-CS-PL-12.25"))))</f>
        <v>RML-CS-PL-10.5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10</v>
      </c>
      <c r="U8" s="35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1"/>
        <v>RTHTMTPKMFRG75X36X10</v>
      </c>
      <c r="E9" s="21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10</v>
      </c>
      <c r="U9" s="35" t="s">
        <v>108</v>
      </c>
    </row>
    <row r="10" spans="1:21" x14ac:dyDescent="0.25">
      <c r="A10" s="36">
        <v>9</v>
      </c>
      <c r="B10" s="7" t="s">
        <v>20</v>
      </c>
      <c r="C10" s="9" t="s">
        <v>20</v>
      </c>
      <c r="D10" s="7" t="str">
        <f t="shared" si="1"/>
        <v>RTHTMTPKMFRG75X36X10</v>
      </c>
      <c r="E10" s="21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10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RTHTMTPKMFRG75X36X10</v>
      </c>
      <c r="E11" s="21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10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RTHTMTPKMFRG75X36X10</v>
      </c>
      <c r="E12" s="9" t="s">
        <v>111</v>
      </c>
      <c r="F12" s="11" t="s">
        <v>13</v>
      </c>
      <c r="G12" s="24">
        <f>IF(K2&lt;79,((L2*2)+(M2*2)+4),((K2*2)+(M2*2)+4))*0.0254*89.5*0.0254*0.00009*1300</f>
        <v>0.64855612223999992</v>
      </c>
      <c r="H12" s="10">
        <f t="shared" si="3"/>
        <v>0.64900000000000002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10</v>
      </c>
      <c r="U12" s="35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1"/>
        <v>RTHTMTPKMFRG75X36X10</v>
      </c>
      <c r="E13" s="39" t="str">
        <f>"60D-RB-MAT-FOAM-"&amp;(K2-0.5)&amp;"0"&amp;"X"&amp;(L2-0.5)&amp;"0"&amp;"X15MM"</f>
        <v>60D-RB-MAT-FOAM-74.50X35.50X15MM</v>
      </c>
      <c r="F13" s="8" t="s">
        <v>11</v>
      </c>
      <c r="G13" s="14">
        <v>1</v>
      </c>
      <c r="H13" s="10">
        <f t="shared" si="3"/>
        <v>1</v>
      </c>
      <c r="I13" s="20" t="s">
        <v>16</v>
      </c>
      <c r="J13" s="12"/>
      <c r="K13" s="22"/>
      <c r="R13" s="34" t="s">
        <v>101</v>
      </c>
      <c r="S13" s="34" t="s">
        <v>96</v>
      </c>
      <c r="T13" s="34">
        <v>10</v>
      </c>
      <c r="U13" s="35" t="s">
        <v>108</v>
      </c>
    </row>
    <row r="14" spans="1:21" x14ac:dyDescent="0.25">
      <c r="J14" s="12"/>
      <c r="M14" s="22"/>
      <c r="O14" s="22"/>
      <c r="R14" s="34" t="s">
        <v>101</v>
      </c>
      <c r="S14" s="34" t="s">
        <v>97</v>
      </c>
      <c r="T14" s="34">
        <v>10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10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10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10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10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10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10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10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10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10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10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10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10</v>
      </c>
      <c r="U26" s="35" t="s">
        <v>108</v>
      </c>
    </row>
    <row r="27" spans="5:21" x14ac:dyDescent="0.25">
      <c r="E27" s="22"/>
      <c r="I27" s="22"/>
      <c r="N27"/>
      <c r="O27"/>
      <c r="R27" s="34" t="s">
        <v>103</v>
      </c>
      <c r="S27" s="34" t="s">
        <v>94</v>
      </c>
      <c r="T27" s="34">
        <v>10</v>
      </c>
      <c r="U27" s="35" t="s">
        <v>108</v>
      </c>
    </row>
    <row r="28" spans="5:21" x14ac:dyDescent="0.25">
      <c r="E28" s="22"/>
      <c r="M28" s="22"/>
      <c r="N28"/>
      <c r="O28"/>
      <c r="R28" s="34" t="s">
        <v>103</v>
      </c>
      <c r="S28" s="34" t="s">
        <v>95</v>
      </c>
      <c r="T28" s="34">
        <v>10</v>
      </c>
      <c r="U28" s="35" t="s">
        <v>108</v>
      </c>
    </row>
    <row r="29" spans="5:21" x14ac:dyDescent="0.25">
      <c r="H29" s="22"/>
      <c r="N29"/>
      <c r="O29"/>
      <c r="R29" s="34" t="s">
        <v>103</v>
      </c>
      <c r="S29" s="34" t="s">
        <v>96</v>
      </c>
      <c r="T29" s="34">
        <v>10</v>
      </c>
      <c r="U29" s="35" t="s">
        <v>108</v>
      </c>
    </row>
    <row r="30" spans="5:21" x14ac:dyDescent="0.25">
      <c r="N30"/>
      <c r="O30"/>
      <c r="R30" s="34" t="s">
        <v>103</v>
      </c>
      <c r="S30" s="34" t="s">
        <v>97</v>
      </c>
      <c r="T30" s="34">
        <v>10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10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10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10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10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10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10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10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10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10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10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10</v>
      </c>
      <c r="U41" s="35" t="s">
        <v>108</v>
      </c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112</v>
      </c>
      <c r="C2">
        <v>10</v>
      </c>
      <c r="D2" t="s">
        <v>153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112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112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112</v>
      </c>
      <c r="C5">
        <v>40</v>
      </c>
      <c r="D5" t="s">
        <v>105</v>
      </c>
      <c r="E5" t="s">
        <v>106</v>
      </c>
      <c r="F5">
        <v>0.34499999999999997</v>
      </c>
      <c r="G5" t="s">
        <v>14</v>
      </c>
    </row>
    <row r="6" spans="1:7" x14ac:dyDescent="0.25">
      <c r="A6">
        <v>1</v>
      </c>
      <c r="B6" t="s">
        <v>112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112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112</v>
      </c>
      <c r="C8">
        <v>70</v>
      </c>
      <c r="D8" t="s">
        <v>113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112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112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112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112</v>
      </c>
      <c r="C12">
        <v>110</v>
      </c>
      <c r="D12" t="s">
        <v>111</v>
      </c>
      <c r="E12" t="s">
        <v>13</v>
      </c>
      <c r="F12">
        <v>0.60799999999999998</v>
      </c>
      <c r="G12" t="s">
        <v>14</v>
      </c>
    </row>
    <row r="13" spans="1:7" x14ac:dyDescent="0.25">
      <c r="A13">
        <v>1</v>
      </c>
      <c r="B13" t="s">
        <v>112</v>
      </c>
      <c r="C13">
        <v>120</v>
      </c>
      <c r="D13" t="s">
        <v>154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114</v>
      </c>
      <c r="C14">
        <v>10</v>
      </c>
      <c r="D14" t="s">
        <v>155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114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40</v>
      </c>
      <c r="D17" t="s">
        <v>105</v>
      </c>
      <c r="E17" t="s">
        <v>106</v>
      </c>
      <c r="F17">
        <v>0.41</v>
      </c>
      <c r="G17" t="s">
        <v>14</v>
      </c>
    </row>
    <row r="18" spans="1:7" x14ac:dyDescent="0.25">
      <c r="A18">
        <v>2</v>
      </c>
      <c r="B18" t="s">
        <v>114</v>
      </c>
      <c r="C18">
        <v>50</v>
      </c>
      <c r="D18" t="s">
        <v>107</v>
      </c>
      <c r="E18" t="s">
        <v>15</v>
      </c>
      <c r="F18">
        <v>11.683999999999999</v>
      </c>
      <c r="G18" t="s">
        <v>14</v>
      </c>
    </row>
    <row r="19" spans="1:7" x14ac:dyDescent="0.25">
      <c r="A19">
        <v>2</v>
      </c>
      <c r="B19" t="s">
        <v>114</v>
      </c>
      <c r="C19">
        <v>60</v>
      </c>
      <c r="D19" t="s">
        <v>18</v>
      </c>
      <c r="E19" t="s">
        <v>15</v>
      </c>
      <c r="F19">
        <v>71.856999999999999</v>
      </c>
      <c r="G19" t="s">
        <v>14</v>
      </c>
    </row>
    <row r="20" spans="1:7" x14ac:dyDescent="0.25">
      <c r="A20">
        <v>2</v>
      </c>
      <c r="B20" t="s">
        <v>114</v>
      </c>
      <c r="C20">
        <v>70</v>
      </c>
      <c r="D20" t="s">
        <v>113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114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114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114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110</v>
      </c>
      <c r="D24" t="s">
        <v>111</v>
      </c>
      <c r="E24" t="s">
        <v>13</v>
      </c>
      <c r="F24">
        <v>0.68899999999999995</v>
      </c>
      <c r="G24" t="s">
        <v>14</v>
      </c>
    </row>
    <row r="25" spans="1:7" x14ac:dyDescent="0.25">
      <c r="A25">
        <v>2</v>
      </c>
      <c r="B25" t="s">
        <v>114</v>
      </c>
      <c r="C25">
        <v>120</v>
      </c>
      <c r="D25" t="s">
        <v>156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115</v>
      </c>
      <c r="C26">
        <v>10</v>
      </c>
      <c r="D26" t="s">
        <v>157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115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115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115</v>
      </c>
      <c r="C29">
        <v>40</v>
      </c>
      <c r="D29" t="s">
        <v>105</v>
      </c>
      <c r="E29" t="s">
        <v>106</v>
      </c>
      <c r="F29">
        <v>0.47399999999999998</v>
      </c>
      <c r="G29" t="s">
        <v>14</v>
      </c>
    </row>
    <row r="30" spans="1:7" x14ac:dyDescent="0.25">
      <c r="A30">
        <v>3</v>
      </c>
      <c r="B30" t="s">
        <v>115</v>
      </c>
      <c r="C30">
        <v>50</v>
      </c>
      <c r="D30" t="s">
        <v>107</v>
      </c>
      <c r="E30" t="s">
        <v>15</v>
      </c>
      <c r="F30">
        <v>12.294</v>
      </c>
      <c r="G30" t="s">
        <v>14</v>
      </c>
    </row>
    <row r="31" spans="1:7" x14ac:dyDescent="0.25">
      <c r="A31">
        <v>3</v>
      </c>
      <c r="B31" t="s">
        <v>115</v>
      </c>
      <c r="C31">
        <v>60</v>
      </c>
      <c r="D31" t="s">
        <v>18</v>
      </c>
      <c r="E31" t="s">
        <v>15</v>
      </c>
      <c r="F31">
        <v>75.605999999999995</v>
      </c>
      <c r="G31" t="s">
        <v>14</v>
      </c>
    </row>
    <row r="32" spans="1:7" x14ac:dyDescent="0.25">
      <c r="A32">
        <v>3</v>
      </c>
      <c r="B32" t="s">
        <v>115</v>
      </c>
      <c r="C32">
        <v>70</v>
      </c>
      <c r="D32" t="s">
        <v>113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115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115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115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115</v>
      </c>
      <c r="C36">
        <v>110</v>
      </c>
      <c r="D36" t="s">
        <v>111</v>
      </c>
      <c r="E36" t="s">
        <v>13</v>
      </c>
      <c r="F36">
        <v>0.77</v>
      </c>
      <c r="G36" t="s">
        <v>14</v>
      </c>
    </row>
    <row r="37" spans="1:7" x14ac:dyDescent="0.25">
      <c r="A37">
        <v>3</v>
      </c>
      <c r="B37" t="s">
        <v>115</v>
      </c>
      <c r="C37">
        <v>120</v>
      </c>
      <c r="D37" t="s">
        <v>158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116</v>
      </c>
      <c r="C38">
        <v>10</v>
      </c>
      <c r="D38" t="s">
        <v>159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116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116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116</v>
      </c>
      <c r="C41">
        <v>40</v>
      </c>
      <c r="D41" t="s">
        <v>105</v>
      </c>
      <c r="E41" t="s">
        <v>106</v>
      </c>
      <c r="F41">
        <v>0.53900000000000003</v>
      </c>
      <c r="G41" t="s">
        <v>14</v>
      </c>
    </row>
    <row r="42" spans="1:7" x14ac:dyDescent="0.25">
      <c r="A42">
        <v>4</v>
      </c>
      <c r="B42" t="s">
        <v>116</v>
      </c>
      <c r="C42">
        <v>50</v>
      </c>
      <c r="D42" t="s">
        <v>107</v>
      </c>
      <c r="E42" t="s">
        <v>15</v>
      </c>
      <c r="F42">
        <v>12.903</v>
      </c>
      <c r="G42" t="s">
        <v>14</v>
      </c>
    </row>
    <row r="43" spans="1:7" x14ac:dyDescent="0.25">
      <c r="A43">
        <v>4</v>
      </c>
      <c r="B43" t="s">
        <v>116</v>
      </c>
      <c r="C43">
        <v>60</v>
      </c>
      <c r="D43" t="s">
        <v>18</v>
      </c>
      <c r="E43" t="s">
        <v>15</v>
      </c>
      <c r="F43">
        <v>79.355000000000004</v>
      </c>
      <c r="G43" t="s">
        <v>14</v>
      </c>
    </row>
    <row r="44" spans="1:7" x14ac:dyDescent="0.25">
      <c r="A44">
        <v>4</v>
      </c>
      <c r="B44" t="s">
        <v>116</v>
      </c>
      <c r="C44">
        <v>70</v>
      </c>
      <c r="D44" t="s">
        <v>113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116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116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116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116</v>
      </c>
      <c r="C48">
        <v>110</v>
      </c>
      <c r="D48" t="s">
        <v>111</v>
      </c>
      <c r="E48" t="s">
        <v>13</v>
      </c>
      <c r="F48">
        <v>0.85099999999999998</v>
      </c>
      <c r="G48" t="s">
        <v>14</v>
      </c>
    </row>
    <row r="49" spans="1:7" x14ac:dyDescent="0.25">
      <c r="A49">
        <v>4</v>
      </c>
      <c r="B49" t="s">
        <v>116</v>
      </c>
      <c r="C49">
        <v>120</v>
      </c>
      <c r="D49" t="s">
        <v>160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117</v>
      </c>
      <c r="C50">
        <v>10</v>
      </c>
      <c r="D50" t="s">
        <v>161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117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117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117</v>
      </c>
      <c r="C53">
        <v>40</v>
      </c>
      <c r="D53" t="s">
        <v>105</v>
      </c>
      <c r="E53" t="s">
        <v>106</v>
      </c>
      <c r="F53">
        <v>0.57199999999999995</v>
      </c>
      <c r="G53" t="s">
        <v>14</v>
      </c>
    </row>
    <row r="54" spans="1:7" x14ac:dyDescent="0.25">
      <c r="A54">
        <v>5</v>
      </c>
      <c r="B54" t="s">
        <v>117</v>
      </c>
      <c r="C54">
        <v>50</v>
      </c>
      <c r="D54" t="s">
        <v>107</v>
      </c>
      <c r="E54" t="s">
        <v>15</v>
      </c>
      <c r="F54">
        <v>13.208</v>
      </c>
      <c r="G54" t="s">
        <v>14</v>
      </c>
    </row>
    <row r="55" spans="1:7" x14ac:dyDescent="0.25">
      <c r="A55">
        <v>5</v>
      </c>
      <c r="B55" t="s">
        <v>117</v>
      </c>
      <c r="C55">
        <v>60</v>
      </c>
      <c r="D55" t="s">
        <v>18</v>
      </c>
      <c r="E55" t="s">
        <v>15</v>
      </c>
      <c r="F55">
        <v>81.228999999999999</v>
      </c>
      <c r="G55" t="s">
        <v>14</v>
      </c>
    </row>
    <row r="56" spans="1:7" x14ac:dyDescent="0.25">
      <c r="A56">
        <v>5</v>
      </c>
      <c r="B56" t="s">
        <v>117</v>
      </c>
      <c r="C56">
        <v>70</v>
      </c>
      <c r="D56" t="s">
        <v>113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117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117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117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117</v>
      </c>
      <c r="C60">
        <v>110</v>
      </c>
      <c r="D60" t="s">
        <v>111</v>
      </c>
      <c r="E60" t="s">
        <v>13</v>
      </c>
      <c r="F60">
        <v>0.89200000000000002</v>
      </c>
      <c r="G60" t="s">
        <v>14</v>
      </c>
    </row>
    <row r="61" spans="1:7" x14ac:dyDescent="0.25">
      <c r="A61">
        <v>5</v>
      </c>
      <c r="B61" t="s">
        <v>117</v>
      </c>
      <c r="C61">
        <v>120</v>
      </c>
      <c r="D61" t="s">
        <v>162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118</v>
      </c>
      <c r="C62">
        <v>10</v>
      </c>
      <c r="D62" t="s">
        <v>163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118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118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118</v>
      </c>
      <c r="C65">
        <v>40</v>
      </c>
      <c r="D65" t="s">
        <v>105</v>
      </c>
      <c r="E65" t="s">
        <v>106</v>
      </c>
      <c r="F65">
        <v>0.60399999999999998</v>
      </c>
      <c r="G65" t="s">
        <v>14</v>
      </c>
    </row>
    <row r="66" spans="1:7" x14ac:dyDescent="0.25">
      <c r="A66">
        <v>6</v>
      </c>
      <c r="B66" t="s">
        <v>118</v>
      </c>
      <c r="C66">
        <v>50</v>
      </c>
      <c r="D66" t="s">
        <v>107</v>
      </c>
      <c r="E66" t="s">
        <v>15</v>
      </c>
      <c r="F66">
        <v>13.513</v>
      </c>
      <c r="G66" t="s">
        <v>14</v>
      </c>
    </row>
    <row r="67" spans="1:7" x14ac:dyDescent="0.25">
      <c r="A67">
        <v>6</v>
      </c>
      <c r="B67" t="s">
        <v>118</v>
      </c>
      <c r="C67">
        <v>60</v>
      </c>
      <c r="D67" t="s">
        <v>18</v>
      </c>
      <c r="E67" t="s">
        <v>15</v>
      </c>
      <c r="F67">
        <v>83.103999999999999</v>
      </c>
      <c r="G67" t="s">
        <v>14</v>
      </c>
    </row>
    <row r="68" spans="1:7" x14ac:dyDescent="0.25">
      <c r="A68">
        <v>6</v>
      </c>
      <c r="B68" t="s">
        <v>118</v>
      </c>
      <c r="C68">
        <v>70</v>
      </c>
      <c r="D68" t="s">
        <v>113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118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118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118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118</v>
      </c>
      <c r="C72">
        <v>110</v>
      </c>
      <c r="D72" t="s">
        <v>111</v>
      </c>
      <c r="E72" t="s">
        <v>13</v>
      </c>
      <c r="F72">
        <v>0.93200000000000005</v>
      </c>
      <c r="G72" t="s">
        <v>14</v>
      </c>
    </row>
    <row r="73" spans="1:7" x14ac:dyDescent="0.25">
      <c r="A73">
        <v>6</v>
      </c>
      <c r="B73" t="s">
        <v>118</v>
      </c>
      <c r="C73">
        <v>120</v>
      </c>
      <c r="D73" t="s">
        <v>164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119</v>
      </c>
      <c r="C74">
        <v>10</v>
      </c>
      <c r="D74" t="s">
        <v>165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119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119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119</v>
      </c>
      <c r="C77">
        <v>40</v>
      </c>
      <c r="D77" t="s">
        <v>105</v>
      </c>
      <c r="E77" t="s">
        <v>106</v>
      </c>
      <c r="F77">
        <v>0.66900000000000004</v>
      </c>
      <c r="G77" t="s">
        <v>14</v>
      </c>
    </row>
    <row r="78" spans="1:7" x14ac:dyDescent="0.25">
      <c r="A78">
        <v>7</v>
      </c>
      <c r="B78" t="s">
        <v>119</v>
      </c>
      <c r="C78">
        <v>50</v>
      </c>
      <c r="D78" t="s">
        <v>107</v>
      </c>
      <c r="E78" t="s">
        <v>15</v>
      </c>
      <c r="F78">
        <v>14.122</v>
      </c>
      <c r="G78" t="s">
        <v>14</v>
      </c>
    </row>
    <row r="79" spans="1:7" x14ac:dyDescent="0.25">
      <c r="A79">
        <v>7</v>
      </c>
      <c r="B79" t="s">
        <v>119</v>
      </c>
      <c r="C79">
        <v>60</v>
      </c>
      <c r="D79" t="s">
        <v>18</v>
      </c>
      <c r="E79" t="s">
        <v>15</v>
      </c>
      <c r="F79">
        <v>86.852999999999994</v>
      </c>
      <c r="G79" t="s">
        <v>14</v>
      </c>
    </row>
    <row r="80" spans="1:7" x14ac:dyDescent="0.25">
      <c r="A80">
        <v>7</v>
      </c>
      <c r="B80" t="s">
        <v>119</v>
      </c>
      <c r="C80">
        <v>70</v>
      </c>
      <c r="D80" t="s">
        <v>113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119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119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119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119</v>
      </c>
      <c r="C84">
        <v>110</v>
      </c>
      <c r="D84" t="s">
        <v>111</v>
      </c>
      <c r="E84" t="s">
        <v>13</v>
      </c>
      <c r="F84">
        <v>1.0129999999999999</v>
      </c>
      <c r="G84" t="s">
        <v>14</v>
      </c>
    </row>
    <row r="85" spans="1:7" x14ac:dyDescent="0.25">
      <c r="A85">
        <v>7</v>
      </c>
      <c r="B85" t="s">
        <v>119</v>
      </c>
      <c r="C85">
        <v>120</v>
      </c>
      <c r="D85" t="s">
        <v>166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120</v>
      </c>
      <c r="C86">
        <v>10</v>
      </c>
      <c r="D86" t="s">
        <v>167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120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120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120</v>
      </c>
      <c r="C89">
        <v>40</v>
      </c>
      <c r="D89" t="s">
        <v>105</v>
      </c>
      <c r="E89" t="s">
        <v>106</v>
      </c>
      <c r="F89">
        <v>0.73299999999999998</v>
      </c>
      <c r="G89" t="s">
        <v>14</v>
      </c>
    </row>
    <row r="90" spans="1:7" x14ac:dyDescent="0.25">
      <c r="A90">
        <v>8</v>
      </c>
      <c r="B90" t="s">
        <v>120</v>
      </c>
      <c r="C90">
        <v>50</v>
      </c>
      <c r="D90" t="s">
        <v>107</v>
      </c>
      <c r="E90" t="s">
        <v>15</v>
      </c>
      <c r="F90">
        <v>14.731999999999999</v>
      </c>
      <c r="G90" t="s">
        <v>14</v>
      </c>
    </row>
    <row r="91" spans="1:7" x14ac:dyDescent="0.25">
      <c r="A91">
        <v>8</v>
      </c>
      <c r="B91" t="s">
        <v>120</v>
      </c>
      <c r="C91">
        <v>60</v>
      </c>
      <c r="D91" t="s">
        <v>18</v>
      </c>
      <c r="E91" t="s">
        <v>15</v>
      </c>
      <c r="F91">
        <v>90.602000000000004</v>
      </c>
      <c r="G91" t="s">
        <v>14</v>
      </c>
    </row>
    <row r="92" spans="1:7" x14ac:dyDescent="0.25">
      <c r="A92">
        <v>8</v>
      </c>
      <c r="B92" t="s">
        <v>120</v>
      </c>
      <c r="C92">
        <v>70</v>
      </c>
      <c r="D92" t="s">
        <v>113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120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120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120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120</v>
      </c>
      <c r="C96">
        <v>110</v>
      </c>
      <c r="D96" t="s">
        <v>111</v>
      </c>
      <c r="E96" t="s">
        <v>13</v>
      </c>
      <c r="F96">
        <v>1.0940000000000001</v>
      </c>
      <c r="G96" t="s">
        <v>14</v>
      </c>
    </row>
    <row r="97" spans="1:7" x14ac:dyDescent="0.25">
      <c r="A97">
        <v>8</v>
      </c>
      <c r="B97" t="s">
        <v>120</v>
      </c>
      <c r="C97">
        <v>120</v>
      </c>
      <c r="D97" t="s">
        <v>168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121</v>
      </c>
      <c r="C98">
        <v>10</v>
      </c>
      <c r="D98" t="s">
        <v>169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121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121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121</v>
      </c>
      <c r="C101">
        <v>40</v>
      </c>
      <c r="D101" t="s">
        <v>105</v>
      </c>
      <c r="E101" t="s">
        <v>106</v>
      </c>
      <c r="F101">
        <v>0.36</v>
      </c>
      <c r="G101" t="s">
        <v>14</v>
      </c>
    </row>
    <row r="102" spans="1:7" x14ac:dyDescent="0.25">
      <c r="A102">
        <v>9</v>
      </c>
      <c r="B102" t="s">
        <v>121</v>
      </c>
      <c r="C102">
        <v>50</v>
      </c>
      <c r="D102" t="s">
        <v>107</v>
      </c>
      <c r="E102" t="s">
        <v>15</v>
      </c>
      <c r="F102">
        <v>11.379</v>
      </c>
      <c r="G102" t="s">
        <v>14</v>
      </c>
    </row>
    <row r="103" spans="1:7" x14ac:dyDescent="0.25">
      <c r="A103">
        <v>9</v>
      </c>
      <c r="B103" t="s">
        <v>121</v>
      </c>
      <c r="C103">
        <v>60</v>
      </c>
      <c r="D103" t="s">
        <v>18</v>
      </c>
      <c r="E103" t="s">
        <v>15</v>
      </c>
      <c r="F103">
        <v>69.981999999999999</v>
      </c>
      <c r="G103" t="s">
        <v>14</v>
      </c>
    </row>
    <row r="104" spans="1:7" x14ac:dyDescent="0.25">
      <c r="A104">
        <v>9</v>
      </c>
      <c r="B104" t="s">
        <v>121</v>
      </c>
      <c r="C104">
        <v>70</v>
      </c>
      <c r="D104" t="s">
        <v>113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121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121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121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121</v>
      </c>
      <c r="C108">
        <v>110</v>
      </c>
      <c r="D108" t="s">
        <v>111</v>
      </c>
      <c r="E108" t="s">
        <v>13</v>
      </c>
      <c r="F108">
        <v>0.60799999999999998</v>
      </c>
      <c r="G108" t="s">
        <v>14</v>
      </c>
    </row>
    <row r="109" spans="1:7" x14ac:dyDescent="0.25">
      <c r="A109">
        <v>9</v>
      </c>
      <c r="B109" t="s">
        <v>121</v>
      </c>
      <c r="C109">
        <v>120</v>
      </c>
      <c r="D109" t="s">
        <v>170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122</v>
      </c>
      <c r="C110">
        <v>10</v>
      </c>
      <c r="D110" t="s">
        <v>171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122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122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122</v>
      </c>
      <c r="C113">
        <v>40</v>
      </c>
      <c r="D113" t="s">
        <v>105</v>
      </c>
      <c r="E113" t="s">
        <v>106</v>
      </c>
      <c r="F113">
        <v>0.42699999999999999</v>
      </c>
      <c r="G113" t="s">
        <v>14</v>
      </c>
    </row>
    <row r="114" spans="1:7" x14ac:dyDescent="0.25">
      <c r="A114">
        <v>10</v>
      </c>
      <c r="B114" t="s">
        <v>122</v>
      </c>
      <c r="C114">
        <v>50</v>
      </c>
      <c r="D114" t="s">
        <v>107</v>
      </c>
      <c r="E114" t="s">
        <v>15</v>
      </c>
      <c r="F114">
        <v>11.989000000000001</v>
      </c>
      <c r="G114" t="s">
        <v>14</v>
      </c>
    </row>
    <row r="115" spans="1:7" x14ac:dyDescent="0.25">
      <c r="A115">
        <v>10</v>
      </c>
      <c r="B115" t="s">
        <v>122</v>
      </c>
      <c r="C115">
        <v>60</v>
      </c>
      <c r="D115" t="s">
        <v>18</v>
      </c>
      <c r="E115" t="s">
        <v>15</v>
      </c>
      <c r="F115">
        <v>73.730999999999995</v>
      </c>
      <c r="G115" t="s">
        <v>14</v>
      </c>
    </row>
    <row r="116" spans="1:7" x14ac:dyDescent="0.25">
      <c r="A116">
        <v>10</v>
      </c>
      <c r="B116" t="s">
        <v>122</v>
      </c>
      <c r="C116">
        <v>70</v>
      </c>
      <c r="D116" t="s">
        <v>113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122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122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122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122</v>
      </c>
      <c r="C120">
        <v>110</v>
      </c>
      <c r="D120" t="s">
        <v>111</v>
      </c>
      <c r="E120" t="s">
        <v>13</v>
      </c>
      <c r="F120">
        <v>0.68899999999999995</v>
      </c>
      <c r="G120" t="s">
        <v>14</v>
      </c>
    </row>
    <row r="121" spans="1:7" x14ac:dyDescent="0.25">
      <c r="A121">
        <v>10</v>
      </c>
      <c r="B121" t="s">
        <v>122</v>
      </c>
      <c r="C121">
        <v>120</v>
      </c>
      <c r="D121" t="s">
        <v>172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123</v>
      </c>
      <c r="C122">
        <v>10</v>
      </c>
      <c r="D122" t="s">
        <v>173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123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123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123</v>
      </c>
      <c r="C125">
        <v>40</v>
      </c>
      <c r="D125" t="s">
        <v>105</v>
      </c>
      <c r="E125" t="s">
        <v>106</v>
      </c>
      <c r="F125">
        <v>0.495</v>
      </c>
      <c r="G125" t="s">
        <v>14</v>
      </c>
    </row>
    <row r="126" spans="1:7" x14ac:dyDescent="0.25">
      <c r="A126">
        <v>11</v>
      </c>
      <c r="B126" t="s">
        <v>123</v>
      </c>
      <c r="C126">
        <v>50</v>
      </c>
      <c r="D126" t="s">
        <v>107</v>
      </c>
      <c r="E126" t="s">
        <v>15</v>
      </c>
      <c r="F126">
        <v>12.598000000000001</v>
      </c>
      <c r="G126" t="s">
        <v>14</v>
      </c>
    </row>
    <row r="127" spans="1:7" x14ac:dyDescent="0.25">
      <c r="A127">
        <v>11</v>
      </c>
      <c r="B127" t="s">
        <v>123</v>
      </c>
      <c r="C127">
        <v>60</v>
      </c>
      <c r="D127" t="s">
        <v>18</v>
      </c>
      <c r="E127" t="s">
        <v>15</v>
      </c>
      <c r="F127">
        <v>77.48</v>
      </c>
      <c r="G127" t="s">
        <v>14</v>
      </c>
    </row>
    <row r="128" spans="1:7" x14ac:dyDescent="0.25">
      <c r="A128">
        <v>11</v>
      </c>
      <c r="B128" t="s">
        <v>123</v>
      </c>
      <c r="C128">
        <v>70</v>
      </c>
      <c r="D128" t="s">
        <v>113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123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123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123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123</v>
      </c>
      <c r="C132">
        <v>110</v>
      </c>
      <c r="D132" t="s">
        <v>111</v>
      </c>
      <c r="E132" t="s">
        <v>13</v>
      </c>
      <c r="F132">
        <v>0.77</v>
      </c>
      <c r="G132" t="s">
        <v>14</v>
      </c>
    </row>
    <row r="133" spans="1:7" x14ac:dyDescent="0.25">
      <c r="A133">
        <v>11</v>
      </c>
      <c r="B133" t="s">
        <v>123</v>
      </c>
      <c r="C133">
        <v>120</v>
      </c>
      <c r="D133" t="s">
        <v>174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124</v>
      </c>
      <c r="C134">
        <v>10</v>
      </c>
      <c r="D134" t="s">
        <v>175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124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124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124</v>
      </c>
      <c r="C137">
        <v>40</v>
      </c>
      <c r="D137" t="s">
        <v>105</v>
      </c>
      <c r="E137" t="s">
        <v>106</v>
      </c>
      <c r="F137">
        <v>0.56200000000000006</v>
      </c>
      <c r="G137" t="s">
        <v>14</v>
      </c>
    </row>
    <row r="138" spans="1:7" x14ac:dyDescent="0.25">
      <c r="A138">
        <v>12</v>
      </c>
      <c r="B138" t="s">
        <v>124</v>
      </c>
      <c r="C138">
        <v>50</v>
      </c>
      <c r="D138" t="s">
        <v>107</v>
      </c>
      <c r="E138" t="s">
        <v>15</v>
      </c>
      <c r="F138">
        <v>13.208</v>
      </c>
      <c r="G138" t="s">
        <v>14</v>
      </c>
    </row>
    <row r="139" spans="1:7" x14ac:dyDescent="0.25">
      <c r="A139">
        <v>12</v>
      </c>
      <c r="B139" t="s">
        <v>124</v>
      </c>
      <c r="C139">
        <v>60</v>
      </c>
      <c r="D139" t="s">
        <v>18</v>
      </c>
      <c r="E139" t="s">
        <v>15</v>
      </c>
      <c r="F139">
        <v>81.228999999999999</v>
      </c>
      <c r="G139" t="s">
        <v>14</v>
      </c>
    </row>
    <row r="140" spans="1:7" x14ac:dyDescent="0.25">
      <c r="A140">
        <v>12</v>
      </c>
      <c r="B140" t="s">
        <v>124</v>
      </c>
      <c r="C140">
        <v>70</v>
      </c>
      <c r="D140" t="s">
        <v>113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124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124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124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124</v>
      </c>
      <c r="C144">
        <v>110</v>
      </c>
      <c r="D144" t="s">
        <v>111</v>
      </c>
      <c r="E144" t="s">
        <v>13</v>
      </c>
      <c r="F144">
        <v>0.85099999999999998</v>
      </c>
      <c r="G144" t="s">
        <v>14</v>
      </c>
    </row>
    <row r="145" spans="1:7" x14ac:dyDescent="0.25">
      <c r="A145">
        <v>12</v>
      </c>
      <c r="B145" t="s">
        <v>124</v>
      </c>
      <c r="C145">
        <v>120</v>
      </c>
      <c r="D145" t="s">
        <v>176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125</v>
      </c>
      <c r="C146">
        <v>10</v>
      </c>
      <c r="D146" t="s">
        <v>177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125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125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125</v>
      </c>
      <c r="C149">
        <v>40</v>
      </c>
      <c r="D149" t="s">
        <v>105</v>
      </c>
      <c r="E149" t="s">
        <v>106</v>
      </c>
      <c r="F149">
        <v>0.59599999999999997</v>
      </c>
      <c r="G149" t="s">
        <v>14</v>
      </c>
    </row>
    <row r="150" spans="1:7" x14ac:dyDescent="0.25">
      <c r="A150">
        <v>13</v>
      </c>
      <c r="B150" t="s">
        <v>125</v>
      </c>
      <c r="C150">
        <v>50</v>
      </c>
      <c r="D150" t="s">
        <v>107</v>
      </c>
      <c r="E150" t="s">
        <v>15</v>
      </c>
      <c r="F150">
        <v>13.513</v>
      </c>
      <c r="G150" t="s">
        <v>14</v>
      </c>
    </row>
    <row r="151" spans="1:7" x14ac:dyDescent="0.25">
      <c r="A151">
        <v>13</v>
      </c>
      <c r="B151" t="s">
        <v>125</v>
      </c>
      <c r="C151">
        <v>60</v>
      </c>
      <c r="D151" t="s">
        <v>18</v>
      </c>
      <c r="E151" t="s">
        <v>15</v>
      </c>
      <c r="F151">
        <v>83.103999999999999</v>
      </c>
      <c r="G151" t="s">
        <v>14</v>
      </c>
    </row>
    <row r="152" spans="1:7" x14ac:dyDescent="0.25">
      <c r="A152">
        <v>13</v>
      </c>
      <c r="B152" t="s">
        <v>125</v>
      </c>
      <c r="C152">
        <v>70</v>
      </c>
      <c r="D152" t="s">
        <v>113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125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125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125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125</v>
      </c>
      <c r="C156">
        <v>110</v>
      </c>
      <c r="D156" t="s">
        <v>111</v>
      </c>
      <c r="E156" t="s">
        <v>13</v>
      </c>
      <c r="F156">
        <v>0.89200000000000002</v>
      </c>
      <c r="G156" t="s">
        <v>14</v>
      </c>
    </row>
    <row r="157" spans="1:7" x14ac:dyDescent="0.25">
      <c r="A157">
        <v>13</v>
      </c>
      <c r="B157" t="s">
        <v>125</v>
      </c>
      <c r="C157">
        <v>120</v>
      </c>
      <c r="D157" t="s">
        <v>178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126</v>
      </c>
      <c r="C158">
        <v>10</v>
      </c>
      <c r="D158" t="s">
        <v>179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126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126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126</v>
      </c>
      <c r="C161">
        <v>40</v>
      </c>
      <c r="D161" t="s">
        <v>105</v>
      </c>
      <c r="E161" t="s">
        <v>106</v>
      </c>
      <c r="F161">
        <v>0.629</v>
      </c>
      <c r="G161" t="s">
        <v>14</v>
      </c>
    </row>
    <row r="162" spans="1:7" x14ac:dyDescent="0.25">
      <c r="A162">
        <v>14</v>
      </c>
      <c r="B162" t="s">
        <v>126</v>
      </c>
      <c r="C162">
        <v>50</v>
      </c>
      <c r="D162" t="s">
        <v>107</v>
      </c>
      <c r="E162" t="s">
        <v>15</v>
      </c>
      <c r="F162">
        <v>13.818</v>
      </c>
      <c r="G162" t="s">
        <v>14</v>
      </c>
    </row>
    <row r="163" spans="1:7" x14ac:dyDescent="0.25">
      <c r="A163">
        <v>14</v>
      </c>
      <c r="B163" t="s">
        <v>126</v>
      </c>
      <c r="C163">
        <v>60</v>
      </c>
      <c r="D163" t="s">
        <v>18</v>
      </c>
      <c r="E163" t="s">
        <v>15</v>
      </c>
      <c r="F163">
        <v>84.977999999999994</v>
      </c>
      <c r="G163" t="s">
        <v>14</v>
      </c>
    </row>
    <row r="164" spans="1:7" x14ac:dyDescent="0.25">
      <c r="A164">
        <v>14</v>
      </c>
      <c r="B164" t="s">
        <v>126</v>
      </c>
      <c r="C164">
        <v>70</v>
      </c>
      <c r="D164" t="s">
        <v>113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126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126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126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126</v>
      </c>
      <c r="C168">
        <v>110</v>
      </c>
      <c r="D168" t="s">
        <v>111</v>
      </c>
      <c r="E168" t="s">
        <v>13</v>
      </c>
      <c r="F168">
        <v>0.93200000000000005</v>
      </c>
      <c r="G168" t="s">
        <v>14</v>
      </c>
    </row>
    <row r="169" spans="1:7" x14ac:dyDescent="0.25">
      <c r="A169">
        <v>14</v>
      </c>
      <c r="B169" t="s">
        <v>126</v>
      </c>
      <c r="C169">
        <v>120</v>
      </c>
      <c r="D169" t="s">
        <v>180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127</v>
      </c>
      <c r="C170">
        <v>10</v>
      </c>
      <c r="D170" t="s">
        <v>181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127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127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127</v>
      </c>
      <c r="C173">
        <v>40</v>
      </c>
      <c r="D173" t="s">
        <v>105</v>
      </c>
      <c r="E173" t="s">
        <v>106</v>
      </c>
      <c r="F173">
        <v>0.69699999999999995</v>
      </c>
      <c r="G173" t="s">
        <v>14</v>
      </c>
    </row>
    <row r="174" spans="1:7" x14ac:dyDescent="0.25">
      <c r="A174">
        <v>15</v>
      </c>
      <c r="B174" t="s">
        <v>127</v>
      </c>
      <c r="C174">
        <v>50</v>
      </c>
      <c r="D174" t="s">
        <v>107</v>
      </c>
      <c r="E174" t="s">
        <v>15</v>
      </c>
      <c r="F174">
        <v>14.427</v>
      </c>
      <c r="G174" t="s">
        <v>14</v>
      </c>
    </row>
    <row r="175" spans="1:7" x14ac:dyDescent="0.25">
      <c r="A175">
        <v>15</v>
      </c>
      <c r="B175" t="s">
        <v>127</v>
      </c>
      <c r="C175">
        <v>60</v>
      </c>
      <c r="D175" t="s">
        <v>18</v>
      </c>
      <c r="E175" t="s">
        <v>15</v>
      </c>
      <c r="F175">
        <v>88.727000000000004</v>
      </c>
      <c r="G175" t="s">
        <v>14</v>
      </c>
    </row>
    <row r="176" spans="1:7" x14ac:dyDescent="0.25">
      <c r="A176">
        <v>15</v>
      </c>
      <c r="B176" t="s">
        <v>127</v>
      </c>
      <c r="C176">
        <v>70</v>
      </c>
      <c r="D176" t="s">
        <v>113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127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127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127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127</v>
      </c>
      <c r="C180">
        <v>110</v>
      </c>
      <c r="D180" t="s">
        <v>111</v>
      </c>
      <c r="E180" t="s">
        <v>13</v>
      </c>
      <c r="F180">
        <v>1.0129999999999999</v>
      </c>
      <c r="G180" t="s">
        <v>14</v>
      </c>
    </row>
    <row r="181" spans="1:7" x14ac:dyDescent="0.25">
      <c r="A181">
        <v>15</v>
      </c>
      <c r="B181" t="s">
        <v>127</v>
      </c>
      <c r="C181">
        <v>120</v>
      </c>
      <c r="D181" t="s">
        <v>182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128</v>
      </c>
      <c r="C182">
        <v>10</v>
      </c>
      <c r="D182" t="s">
        <v>183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128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128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128</v>
      </c>
      <c r="C185">
        <v>40</v>
      </c>
      <c r="D185" t="s">
        <v>105</v>
      </c>
      <c r="E185" t="s">
        <v>106</v>
      </c>
      <c r="F185">
        <v>0.76400000000000001</v>
      </c>
      <c r="G185" t="s">
        <v>14</v>
      </c>
    </row>
    <row r="186" spans="1:7" x14ac:dyDescent="0.25">
      <c r="A186">
        <v>16</v>
      </c>
      <c r="B186" t="s">
        <v>128</v>
      </c>
      <c r="C186">
        <v>50</v>
      </c>
      <c r="D186" t="s">
        <v>107</v>
      </c>
      <c r="E186" t="s">
        <v>15</v>
      </c>
      <c r="F186">
        <v>15.037000000000001</v>
      </c>
      <c r="G186" t="s">
        <v>14</v>
      </c>
    </row>
    <row r="187" spans="1:7" x14ac:dyDescent="0.25">
      <c r="A187">
        <v>16</v>
      </c>
      <c r="B187" t="s">
        <v>128</v>
      </c>
      <c r="C187">
        <v>60</v>
      </c>
      <c r="D187" t="s">
        <v>18</v>
      </c>
      <c r="E187" t="s">
        <v>15</v>
      </c>
      <c r="F187">
        <v>92.475999999999999</v>
      </c>
      <c r="G187" t="s">
        <v>14</v>
      </c>
    </row>
    <row r="188" spans="1:7" x14ac:dyDescent="0.25">
      <c r="A188">
        <v>16</v>
      </c>
      <c r="B188" t="s">
        <v>128</v>
      </c>
      <c r="C188">
        <v>70</v>
      </c>
      <c r="D188" t="s">
        <v>113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128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128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128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128</v>
      </c>
      <c r="C192">
        <v>110</v>
      </c>
      <c r="D192" t="s">
        <v>111</v>
      </c>
      <c r="E192" t="s">
        <v>13</v>
      </c>
      <c r="F192">
        <v>1.0940000000000001</v>
      </c>
      <c r="G192" t="s">
        <v>14</v>
      </c>
    </row>
    <row r="193" spans="1:7" x14ac:dyDescent="0.25">
      <c r="A193">
        <v>16</v>
      </c>
      <c r="B193" t="s">
        <v>128</v>
      </c>
      <c r="C193">
        <v>120</v>
      </c>
      <c r="D193" t="s">
        <v>184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129</v>
      </c>
      <c r="C194">
        <v>10</v>
      </c>
      <c r="D194" t="s">
        <v>185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129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129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129</v>
      </c>
      <c r="C197">
        <v>40</v>
      </c>
      <c r="D197" t="s">
        <v>105</v>
      </c>
      <c r="E197" t="s">
        <v>106</v>
      </c>
      <c r="F197">
        <v>0.374</v>
      </c>
      <c r="G197" t="s">
        <v>14</v>
      </c>
    </row>
    <row r="198" spans="1:7" x14ac:dyDescent="0.25">
      <c r="A198">
        <v>17</v>
      </c>
      <c r="B198" t="s">
        <v>129</v>
      </c>
      <c r="C198">
        <v>50</v>
      </c>
      <c r="D198" t="s">
        <v>107</v>
      </c>
      <c r="E198" t="s">
        <v>15</v>
      </c>
      <c r="F198">
        <v>11.683999999999999</v>
      </c>
      <c r="G198" t="s">
        <v>14</v>
      </c>
    </row>
    <row r="199" spans="1:7" x14ac:dyDescent="0.25">
      <c r="A199">
        <v>17</v>
      </c>
      <c r="B199" t="s">
        <v>129</v>
      </c>
      <c r="C199">
        <v>60</v>
      </c>
      <c r="D199" t="s">
        <v>18</v>
      </c>
      <c r="E199" t="s">
        <v>15</v>
      </c>
      <c r="F199">
        <v>71.856999999999999</v>
      </c>
      <c r="G199" t="s">
        <v>14</v>
      </c>
    </row>
    <row r="200" spans="1:7" x14ac:dyDescent="0.25">
      <c r="A200">
        <v>17</v>
      </c>
      <c r="B200" t="s">
        <v>129</v>
      </c>
      <c r="C200">
        <v>70</v>
      </c>
      <c r="D200" t="s">
        <v>113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129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129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129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129</v>
      </c>
      <c r="C204">
        <v>110</v>
      </c>
      <c r="D204" t="s">
        <v>111</v>
      </c>
      <c r="E204" t="s">
        <v>13</v>
      </c>
      <c r="F204">
        <v>0.60799999999999998</v>
      </c>
      <c r="G204" t="s">
        <v>14</v>
      </c>
    </row>
    <row r="205" spans="1:7" x14ac:dyDescent="0.25">
      <c r="A205">
        <v>17</v>
      </c>
      <c r="B205" t="s">
        <v>129</v>
      </c>
      <c r="C205">
        <v>120</v>
      </c>
      <c r="D205" t="s">
        <v>186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130</v>
      </c>
      <c r="C206">
        <v>10</v>
      </c>
      <c r="D206" t="s">
        <v>187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130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130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130</v>
      </c>
      <c r="C209">
        <v>40</v>
      </c>
      <c r="D209" t="s">
        <v>105</v>
      </c>
      <c r="E209" t="s">
        <v>106</v>
      </c>
      <c r="F209">
        <v>0.44400000000000001</v>
      </c>
      <c r="G209" t="s">
        <v>14</v>
      </c>
    </row>
    <row r="210" spans="1:7" x14ac:dyDescent="0.25">
      <c r="A210">
        <v>18</v>
      </c>
      <c r="B210" t="s">
        <v>130</v>
      </c>
      <c r="C210">
        <v>50</v>
      </c>
      <c r="D210" t="s">
        <v>107</v>
      </c>
      <c r="E210" t="s">
        <v>15</v>
      </c>
      <c r="F210">
        <v>12.294</v>
      </c>
      <c r="G210" t="s">
        <v>14</v>
      </c>
    </row>
    <row r="211" spans="1:7" x14ac:dyDescent="0.25">
      <c r="A211">
        <v>18</v>
      </c>
      <c r="B211" t="s">
        <v>130</v>
      </c>
      <c r="C211">
        <v>60</v>
      </c>
      <c r="D211" t="s">
        <v>18</v>
      </c>
      <c r="E211" t="s">
        <v>15</v>
      </c>
      <c r="F211">
        <v>75.605999999999995</v>
      </c>
      <c r="G211" t="s">
        <v>14</v>
      </c>
    </row>
    <row r="212" spans="1:7" x14ac:dyDescent="0.25">
      <c r="A212">
        <v>18</v>
      </c>
      <c r="B212" t="s">
        <v>130</v>
      </c>
      <c r="C212">
        <v>70</v>
      </c>
      <c r="D212" t="s">
        <v>113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130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130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130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130</v>
      </c>
      <c r="C216">
        <v>110</v>
      </c>
      <c r="D216" t="s">
        <v>111</v>
      </c>
      <c r="E216" t="s">
        <v>13</v>
      </c>
      <c r="F216">
        <v>0.68899999999999995</v>
      </c>
      <c r="G216" t="s">
        <v>14</v>
      </c>
    </row>
    <row r="217" spans="1:7" x14ac:dyDescent="0.25">
      <c r="A217">
        <v>18</v>
      </c>
      <c r="B217" t="s">
        <v>130</v>
      </c>
      <c r="C217">
        <v>120</v>
      </c>
      <c r="D217" t="s">
        <v>188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131</v>
      </c>
      <c r="C218">
        <v>10</v>
      </c>
      <c r="D218" t="s">
        <v>189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131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131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131</v>
      </c>
      <c r="C221">
        <v>40</v>
      </c>
      <c r="D221" t="s">
        <v>105</v>
      </c>
      <c r="E221" t="s">
        <v>106</v>
      </c>
      <c r="F221">
        <v>0.51500000000000001</v>
      </c>
      <c r="G221" t="s">
        <v>14</v>
      </c>
    </row>
    <row r="222" spans="1:7" x14ac:dyDescent="0.25">
      <c r="A222">
        <v>19</v>
      </c>
      <c r="B222" t="s">
        <v>131</v>
      </c>
      <c r="C222">
        <v>50</v>
      </c>
      <c r="D222" t="s">
        <v>107</v>
      </c>
      <c r="E222" t="s">
        <v>15</v>
      </c>
      <c r="F222">
        <v>12.903</v>
      </c>
      <c r="G222" t="s">
        <v>14</v>
      </c>
    </row>
    <row r="223" spans="1:7" x14ac:dyDescent="0.25">
      <c r="A223">
        <v>19</v>
      </c>
      <c r="B223" t="s">
        <v>131</v>
      </c>
      <c r="C223">
        <v>60</v>
      </c>
      <c r="D223" t="s">
        <v>18</v>
      </c>
      <c r="E223" t="s">
        <v>15</v>
      </c>
      <c r="F223">
        <v>79.355000000000004</v>
      </c>
      <c r="G223" t="s">
        <v>14</v>
      </c>
    </row>
    <row r="224" spans="1:7" x14ac:dyDescent="0.25">
      <c r="A224">
        <v>19</v>
      </c>
      <c r="B224" t="s">
        <v>131</v>
      </c>
      <c r="C224">
        <v>70</v>
      </c>
      <c r="D224" t="s">
        <v>113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131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131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131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131</v>
      </c>
      <c r="C228">
        <v>110</v>
      </c>
      <c r="D228" t="s">
        <v>111</v>
      </c>
      <c r="E228" t="s">
        <v>13</v>
      </c>
      <c r="F228">
        <v>0.77</v>
      </c>
      <c r="G228" t="s">
        <v>14</v>
      </c>
    </row>
    <row r="229" spans="1:7" x14ac:dyDescent="0.25">
      <c r="A229">
        <v>19</v>
      </c>
      <c r="B229" t="s">
        <v>131</v>
      </c>
      <c r="C229">
        <v>120</v>
      </c>
      <c r="D229" t="s">
        <v>190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132</v>
      </c>
      <c r="C230">
        <v>10</v>
      </c>
      <c r="D230" t="s">
        <v>191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132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132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132</v>
      </c>
      <c r="C233">
        <v>40</v>
      </c>
      <c r="D233" t="s">
        <v>105</v>
      </c>
      <c r="E233" t="s">
        <v>106</v>
      </c>
      <c r="F233">
        <v>0.58499999999999996</v>
      </c>
      <c r="G233" t="s">
        <v>14</v>
      </c>
    </row>
    <row r="234" spans="1:7" x14ac:dyDescent="0.25">
      <c r="A234">
        <v>20</v>
      </c>
      <c r="B234" t="s">
        <v>132</v>
      </c>
      <c r="C234">
        <v>50</v>
      </c>
      <c r="D234" t="s">
        <v>107</v>
      </c>
      <c r="E234" t="s">
        <v>15</v>
      </c>
      <c r="F234">
        <v>13.513</v>
      </c>
      <c r="G234" t="s">
        <v>14</v>
      </c>
    </row>
    <row r="235" spans="1:7" x14ac:dyDescent="0.25">
      <c r="A235">
        <v>20</v>
      </c>
      <c r="B235" t="s">
        <v>132</v>
      </c>
      <c r="C235">
        <v>60</v>
      </c>
      <c r="D235" t="s">
        <v>18</v>
      </c>
      <c r="E235" t="s">
        <v>15</v>
      </c>
      <c r="F235">
        <v>83.103999999999999</v>
      </c>
      <c r="G235" t="s">
        <v>14</v>
      </c>
    </row>
    <row r="236" spans="1:7" x14ac:dyDescent="0.25">
      <c r="A236">
        <v>20</v>
      </c>
      <c r="B236" t="s">
        <v>132</v>
      </c>
      <c r="C236">
        <v>70</v>
      </c>
      <c r="D236" t="s">
        <v>113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132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132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132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132</v>
      </c>
      <c r="C240">
        <v>110</v>
      </c>
      <c r="D240" t="s">
        <v>111</v>
      </c>
      <c r="E240" t="s">
        <v>13</v>
      </c>
      <c r="F240">
        <v>0.85099999999999998</v>
      </c>
      <c r="G240" t="s">
        <v>14</v>
      </c>
    </row>
    <row r="241" spans="1:7" x14ac:dyDescent="0.25">
      <c r="A241">
        <v>20</v>
      </c>
      <c r="B241" t="s">
        <v>132</v>
      </c>
      <c r="C241">
        <v>120</v>
      </c>
      <c r="D241" t="s">
        <v>192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133</v>
      </c>
      <c r="C242">
        <v>10</v>
      </c>
      <c r="D242" t="s">
        <v>193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133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133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133</v>
      </c>
      <c r="C245">
        <v>40</v>
      </c>
      <c r="D245" t="s">
        <v>105</v>
      </c>
      <c r="E245" t="s">
        <v>106</v>
      </c>
      <c r="F245">
        <v>0.62</v>
      </c>
      <c r="G245" t="s">
        <v>14</v>
      </c>
    </row>
    <row r="246" spans="1:7" x14ac:dyDescent="0.25">
      <c r="A246">
        <v>21</v>
      </c>
      <c r="B246" t="s">
        <v>133</v>
      </c>
      <c r="C246">
        <v>50</v>
      </c>
      <c r="D246" t="s">
        <v>107</v>
      </c>
      <c r="E246" t="s">
        <v>15</v>
      </c>
      <c r="F246">
        <v>13.818</v>
      </c>
      <c r="G246" t="s">
        <v>14</v>
      </c>
    </row>
    <row r="247" spans="1:7" x14ac:dyDescent="0.25">
      <c r="A247">
        <v>21</v>
      </c>
      <c r="B247" t="s">
        <v>133</v>
      </c>
      <c r="C247">
        <v>60</v>
      </c>
      <c r="D247" t="s">
        <v>18</v>
      </c>
      <c r="E247" t="s">
        <v>15</v>
      </c>
      <c r="F247">
        <v>84.977999999999994</v>
      </c>
      <c r="G247" t="s">
        <v>14</v>
      </c>
    </row>
    <row r="248" spans="1:7" x14ac:dyDescent="0.25">
      <c r="A248">
        <v>21</v>
      </c>
      <c r="B248" t="s">
        <v>133</v>
      </c>
      <c r="C248">
        <v>70</v>
      </c>
      <c r="D248" t="s">
        <v>113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133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133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133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133</v>
      </c>
      <c r="C252">
        <v>110</v>
      </c>
      <c r="D252" t="s">
        <v>111</v>
      </c>
      <c r="E252" t="s">
        <v>13</v>
      </c>
      <c r="F252">
        <v>0.89200000000000002</v>
      </c>
      <c r="G252" t="s">
        <v>14</v>
      </c>
    </row>
    <row r="253" spans="1:7" x14ac:dyDescent="0.25">
      <c r="A253">
        <v>21</v>
      </c>
      <c r="B253" t="s">
        <v>133</v>
      </c>
      <c r="C253">
        <v>120</v>
      </c>
      <c r="D253" t="s">
        <v>194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134</v>
      </c>
      <c r="C254">
        <v>10</v>
      </c>
      <c r="D254" t="s">
        <v>195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134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134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134</v>
      </c>
      <c r="C257">
        <v>40</v>
      </c>
      <c r="D257" t="s">
        <v>105</v>
      </c>
      <c r="E257" t="s">
        <v>106</v>
      </c>
      <c r="F257">
        <v>0.65500000000000003</v>
      </c>
      <c r="G257" t="s">
        <v>14</v>
      </c>
    </row>
    <row r="258" spans="1:7" x14ac:dyDescent="0.25">
      <c r="A258">
        <v>22</v>
      </c>
      <c r="B258" t="s">
        <v>134</v>
      </c>
      <c r="C258">
        <v>50</v>
      </c>
      <c r="D258" t="s">
        <v>107</v>
      </c>
      <c r="E258" t="s">
        <v>15</v>
      </c>
      <c r="F258">
        <v>14.122</v>
      </c>
      <c r="G258" t="s">
        <v>14</v>
      </c>
    </row>
    <row r="259" spans="1:7" x14ac:dyDescent="0.25">
      <c r="A259">
        <v>22</v>
      </c>
      <c r="B259" t="s">
        <v>134</v>
      </c>
      <c r="C259">
        <v>60</v>
      </c>
      <c r="D259" t="s">
        <v>18</v>
      </c>
      <c r="E259" t="s">
        <v>15</v>
      </c>
      <c r="F259">
        <v>86.852999999999994</v>
      </c>
      <c r="G259" t="s">
        <v>14</v>
      </c>
    </row>
    <row r="260" spans="1:7" x14ac:dyDescent="0.25">
      <c r="A260">
        <v>22</v>
      </c>
      <c r="B260" t="s">
        <v>134</v>
      </c>
      <c r="C260">
        <v>70</v>
      </c>
      <c r="D260" t="s">
        <v>113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134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134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134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134</v>
      </c>
      <c r="C264">
        <v>110</v>
      </c>
      <c r="D264" t="s">
        <v>111</v>
      </c>
      <c r="E264" t="s">
        <v>13</v>
      </c>
      <c r="F264">
        <v>0.93200000000000005</v>
      </c>
      <c r="G264" t="s">
        <v>14</v>
      </c>
    </row>
    <row r="265" spans="1:7" x14ac:dyDescent="0.25">
      <c r="A265">
        <v>22</v>
      </c>
      <c r="B265" t="s">
        <v>134</v>
      </c>
      <c r="C265">
        <v>120</v>
      </c>
      <c r="D265" t="s">
        <v>196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135</v>
      </c>
      <c r="C266">
        <v>10</v>
      </c>
      <c r="D266" t="s">
        <v>197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135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135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135</v>
      </c>
      <c r="C269">
        <v>40</v>
      </c>
      <c r="D269" t="s">
        <v>105</v>
      </c>
      <c r="E269" t="s">
        <v>106</v>
      </c>
      <c r="F269">
        <v>0.72499999999999998</v>
      </c>
      <c r="G269" t="s">
        <v>14</v>
      </c>
    </row>
    <row r="270" spans="1:7" x14ac:dyDescent="0.25">
      <c r="A270">
        <v>23</v>
      </c>
      <c r="B270" t="s">
        <v>135</v>
      </c>
      <c r="C270">
        <v>50</v>
      </c>
      <c r="D270" t="s">
        <v>107</v>
      </c>
      <c r="E270" t="s">
        <v>15</v>
      </c>
      <c r="F270">
        <v>14.731999999999999</v>
      </c>
      <c r="G270" t="s">
        <v>14</v>
      </c>
    </row>
    <row r="271" spans="1:7" x14ac:dyDescent="0.25">
      <c r="A271">
        <v>23</v>
      </c>
      <c r="B271" t="s">
        <v>135</v>
      </c>
      <c r="C271">
        <v>60</v>
      </c>
      <c r="D271" t="s">
        <v>18</v>
      </c>
      <c r="E271" t="s">
        <v>15</v>
      </c>
      <c r="F271">
        <v>90.602000000000004</v>
      </c>
      <c r="G271" t="s">
        <v>14</v>
      </c>
    </row>
    <row r="272" spans="1:7" x14ac:dyDescent="0.25">
      <c r="A272">
        <v>23</v>
      </c>
      <c r="B272" t="s">
        <v>135</v>
      </c>
      <c r="C272">
        <v>70</v>
      </c>
      <c r="D272" t="s">
        <v>113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135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135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135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135</v>
      </c>
      <c r="C276">
        <v>110</v>
      </c>
      <c r="D276" t="s">
        <v>111</v>
      </c>
      <c r="E276" t="s">
        <v>13</v>
      </c>
      <c r="F276">
        <v>1.0129999999999999</v>
      </c>
      <c r="G276" t="s">
        <v>14</v>
      </c>
    </row>
    <row r="277" spans="1:7" x14ac:dyDescent="0.25">
      <c r="A277">
        <v>23</v>
      </c>
      <c r="B277" t="s">
        <v>135</v>
      </c>
      <c r="C277">
        <v>120</v>
      </c>
      <c r="D277" t="s">
        <v>198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136</v>
      </c>
      <c r="C278">
        <v>10</v>
      </c>
      <c r="D278" t="s">
        <v>199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136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136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136</v>
      </c>
      <c r="C281">
        <v>40</v>
      </c>
      <c r="D281" t="s">
        <v>105</v>
      </c>
      <c r="E281" t="s">
        <v>106</v>
      </c>
      <c r="F281">
        <v>0.79500000000000004</v>
      </c>
      <c r="G281" t="s">
        <v>14</v>
      </c>
    </row>
    <row r="282" spans="1:7" x14ac:dyDescent="0.25">
      <c r="A282">
        <v>24</v>
      </c>
      <c r="B282" t="s">
        <v>136</v>
      </c>
      <c r="C282">
        <v>50</v>
      </c>
      <c r="D282" t="s">
        <v>107</v>
      </c>
      <c r="E282" t="s">
        <v>15</v>
      </c>
      <c r="F282">
        <v>15.342000000000001</v>
      </c>
      <c r="G282" t="s">
        <v>14</v>
      </c>
    </row>
    <row r="283" spans="1:7" x14ac:dyDescent="0.25">
      <c r="A283">
        <v>24</v>
      </c>
      <c r="B283" t="s">
        <v>136</v>
      </c>
      <c r="C283">
        <v>60</v>
      </c>
      <c r="D283" t="s">
        <v>18</v>
      </c>
      <c r="E283" t="s">
        <v>15</v>
      </c>
      <c r="F283">
        <v>94.350999999999999</v>
      </c>
      <c r="G283" t="s">
        <v>14</v>
      </c>
    </row>
    <row r="284" spans="1:7" x14ac:dyDescent="0.25">
      <c r="A284">
        <v>24</v>
      </c>
      <c r="B284" t="s">
        <v>136</v>
      </c>
      <c r="C284">
        <v>70</v>
      </c>
      <c r="D284" t="s">
        <v>113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136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136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136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136</v>
      </c>
      <c r="C288">
        <v>110</v>
      </c>
      <c r="D288" t="s">
        <v>111</v>
      </c>
      <c r="E288" t="s">
        <v>13</v>
      </c>
      <c r="F288">
        <v>1.0940000000000001</v>
      </c>
      <c r="G288" t="s">
        <v>14</v>
      </c>
    </row>
    <row r="289" spans="1:7" x14ac:dyDescent="0.25">
      <c r="A289">
        <v>24</v>
      </c>
      <c r="B289" t="s">
        <v>136</v>
      </c>
      <c r="C289">
        <v>120</v>
      </c>
      <c r="D289" t="s">
        <v>200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137</v>
      </c>
      <c r="C290">
        <v>10</v>
      </c>
      <c r="D290" t="s">
        <v>201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137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137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137</v>
      </c>
      <c r="C293">
        <v>40</v>
      </c>
      <c r="D293" t="s">
        <v>105</v>
      </c>
      <c r="E293" t="s">
        <v>106</v>
      </c>
      <c r="F293">
        <v>0.38400000000000001</v>
      </c>
      <c r="G293" t="s">
        <v>14</v>
      </c>
    </row>
    <row r="294" spans="1:7" x14ac:dyDescent="0.25">
      <c r="A294">
        <v>25</v>
      </c>
      <c r="B294" t="s">
        <v>137</v>
      </c>
      <c r="C294">
        <v>50</v>
      </c>
      <c r="D294" t="s">
        <v>107</v>
      </c>
      <c r="E294" t="s">
        <v>15</v>
      </c>
      <c r="F294">
        <v>11.887</v>
      </c>
      <c r="G294" t="s">
        <v>14</v>
      </c>
    </row>
    <row r="295" spans="1:7" x14ac:dyDescent="0.25">
      <c r="A295">
        <v>25</v>
      </c>
      <c r="B295" t="s">
        <v>137</v>
      </c>
      <c r="C295">
        <v>60</v>
      </c>
      <c r="D295" t="s">
        <v>18</v>
      </c>
      <c r="E295" t="s">
        <v>15</v>
      </c>
      <c r="F295">
        <v>73.105999999999995</v>
      </c>
      <c r="G295" t="s">
        <v>14</v>
      </c>
    </row>
    <row r="296" spans="1:7" x14ac:dyDescent="0.25">
      <c r="A296">
        <v>25</v>
      </c>
      <c r="B296" t="s">
        <v>137</v>
      </c>
      <c r="C296">
        <v>70</v>
      </c>
      <c r="D296" t="s">
        <v>113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137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137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137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137</v>
      </c>
      <c r="C300">
        <v>110</v>
      </c>
      <c r="D300" t="s">
        <v>111</v>
      </c>
      <c r="E300" t="s">
        <v>13</v>
      </c>
      <c r="F300">
        <v>1.2430000000000001</v>
      </c>
      <c r="G300" t="s">
        <v>14</v>
      </c>
    </row>
    <row r="301" spans="1:7" x14ac:dyDescent="0.25">
      <c r="A301">
        <v>25</v>
      </c>
      <c r="B301" t="s">
        <v>137</v>
      </c>
      <c r="C301">
        <v>120</v>
      </c>
      <c r="D301" t="s">
        <v>202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138</v>
      </c>
      <c r="C302">
        <v>10</v>
      </c>
      <c r="D302" t="s">
        <v>203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138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138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138</v>
      </c>
      <c r="C305">
        <v>40</v>
      </c>
      <c r="D305" t="s">
        <v>105</v>
      </c>
      <c r="E305" t="s">
        <v>106</v>
      </c>
      <c r="F305">
        <v>0.45600000000000002</v>
      </c>
      <c r="G305" t="s">
        <v>14</v>
      </c>
    </row>
    <row r="306" spans="1:7" x14ac:dyDescent="0.25">
      <c r="A306">
        <v>26</v>
      </c>
      <c r="B306" t="s">
        <v>138</v>
      </c>
      <c r="C306">
        <v>50</v>
      </c>
      <c r="D306" t="s">
        <v>107</v>
      </c>
      <c r="E306" t="s">
        <v>15</v>
      </c>
      <c r="F306">
        <v>12.497</v>
      </c>
      <c r="G306" t="s">
        <v>14</v>
      </c>
    </row>
    <row r="307" spans="1:7" x14ac:dyDescent="0.25">
      <c r="A307">
        <v>26</v>
      </c>
      <c r="B307" t="s">
        <v>138</v>
      </c>
      <c r="C307">
        <v>60</v>
      </c>
      <c r="D307" t="s">
        <v>18</v>
      </c>
      <c r="E307" t="s">
        <v>15</v>
      </c>
      <c r="F307">
        <v>76.855000000000004</v>
      </c>
      <c r="G307" t="s">
        <v>14</v>
      </c>
    </row>
    <row r="308" spans="1:7" x14ac:dyDescent="0.25">
      <c r="A308">
        <v>26</v>
      </c>
      <c r="B308" t="s">
        <v>138</v>
      </c>
      <c r="C308">
        <v>70</v>
      </c>
      <c r="D308" t="s">
        <v>113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138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138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138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138</v>
      </c>
      <c r="C312">
        <v>110</v>
      </c>
      <c r="D312" t="s">
        <v>111</v>
      </c>
      <c r="E312" t="s">
        <v>13</v>
      </c>
      <c r="F312">
        <v>1.2430000000000001</v>
      </c>
      <c r="G312" t="s">
        <v>14</v>
      </c>
    </row>
    <row r="313" spans="1:7" x14ac:dyDescent="0.25">
      <c r="A313">
        <v>26</v>
      </c>
      <c r="B313" t="s">
        <v>138</v>
      </c>
      <c r="C313">
        <v>120</v>
      </c>
      <c r="D313" t="s">
        <v>204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139</v>
      </c>
      <c r="C314">
        <v>10</v>
      </c>
      <c r="D314" t="s">
        <v>205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139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139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139</v>
      </c>
      <c r="C317">
        <v>40</v>
      </c>
      <c r="D317" t="s">
        <v>105</v>
      </c>
      <c r="E317" t="s">
        <v>106</v>
      </c>
      <c r="F317">
        <v>0.52800000000000002</v>
      </c>
      <c r="G317" t="s">
        <v>14</v>
      </c>
    </row>
    <row r="318" spans="1:7" x14ac:dyDescent="0.25">
      <c r="A318">
        <v>27</v>
      </c>
      <c r="B318" t="s">
        <v>139</v>
      </c>
      <c r="C318">
        <v>50</v>
      </c>
      <c r="D318" t="s">
        <v>107</v>
      </c>
      <c r="E318" t="s">
        <v>15</v>
      </c>
      <c r="F318">
        <v>13.106</v>
      </c>
      <c r="G318" t="s">
        <v>14</v>
      </c>
    </row>
    <row r="319" spans="1:7" x14ac:dyDescent="0.25">
      <c r="A319">
        <v>27</v>
      </c>
      <c r="B319" t="s">
        <v>139</v>
      </c>
      <c r="C319">
        <v>60</v>
      </c>
      <c r="D319" t="s">
        <v>18</v>
      </c>
      <c r="E319" t="s">
        <v>15</v>
      </c>
      <c r="F319">
        <v>80.603999999999999</v>
      </c>
      <c r="G319" t="s">
        <v>14</v>
      </c>
    </row>
    <row r="320" spans="1:7" x14ac:dyDescent="0.25">
      <c r="A320">
        <v>27</v>
      </c>
      <c r="B320" t="s">
        <v>139</v>
      </c>
      <c r="C320">
        <v>70</v>
      </c>
      <c r="D320" t="s">
        <v>113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139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139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139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139</v>
      </c>
      <c r="C324">
        <v>110</v>
      </c>
      <c r="D324" t="s">
        <v>111</v>
      </c>
      <c r="E324" t="s">
        <v>13</v>
      </c>
      <c r="F324">
        <v>1.2430000000000001</v>
      </c>
      <c r="G324" t="s">
        <v>14</v>
      </c>
    </row>
    <row r="325" spans="1:7" x14ac:dyDescent="0.25">
      <c r="A325">
        <v>27</v>
      </c>
      <c r="B325" t="s">
        <v>139</v>
      </c>
      <c r="C325">
        <v>120</v>
      </c>
      <c r="D325" t="s">
        <v>206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140</v>
      </c>
      <c r="C326">
        <v>10</v>
      </c>
      <c r="D326" t="s">
        <v>207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140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140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140</v>
      </c>
      <c r="C329">
        <v>40</v>
      </c>
      <c r="D329" t="s">
        <v>105</v>
      </c>
      <c r="E329" t="s">
        <v>106</v>
      </c>
      <c r="F329">
        <v>0.6</v>
      </c>
      <c r="G329" t="s">
        <v>14</v>
      </c>
    </row>
    <row r="330" spans="1:7" x14ac:dyDescent="0.25">
      <c r="A330">
        <v>28</v>
      </c>
      <c r="B330" t="s">
        <v>140</v>
      </c>
      <c r="C330">
        <v>50</v>
      </c>
      <c r="D330" t="s">
        <v>107</v>
      </c>
      <c r="E330" t="s">
        <v>15</v>
      </c>
      <c r="F330">
        <v>13.715999999999999</v>
      </c>
      <c r="G330" t="s">
        <v>14</v>
      </c>
    </row>
    <row r="331" spans="1:7" x14ac:dyDescent="0.25">
      <c r="A331">
        <v>28</v>
      </c>
      <c r="B331" t="s">
        <v>140</v>
      </c>
      <c r="C331">
        <v>60</v>
      </c>
      <c r="D331" t="s">
        <v>18</v>
      </c>
      <c r="E331" t="s">
        <v>15</v>
      </c>
      <c r="F331">
        <v>84.352999999999994</v>
      </c>
      <c r="G331" t="s">
        <v>14</v>
      </c>
    </row>
    <row r="332" spans="1:7" x14ac:dyDescent="0.25">
      <c r="A332">
        <v>28</v>
      </c>
      <c r="B332" t="s">
        <v>140</v>
      </c>
      <c r="C332">
        <v>70</v>
      </c>
      <c r="D332" t="s">
        <v>113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140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140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140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140</v>
      </c>
      <c r="C336">
        <v>110</v>
      </c>
      <c r="D336" t="s">
        <v>111</v>
      </c>
      <c r="E336" t="s">
        <v>13</v>
      </c>
      <c r="F336">
        <v>1.2430000000000001</v>
      </c>
      <c r="G336" t="s">
        <v>14</v>
      </c>
    </row>
    <row r="337" spans="1:7" x14ac:dyDescent="0.25">
      <c r="A337">
        <v>28</v>
      </c>
      <c r="B337" t="s">
        <v>140</v>
      </c>
      <c r="C337">
        <v>120</v>
      </c>
      <c r="D337" t="s">
        <v>208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141</v>
      </c>
      <c r="C338">
        <v>10</v>
      </c>
      <c r="D338" t="s">
        <v>209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141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141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141</v>
      </c>
      <c r="C341">
        <v>40</v>
      </c>
      <c r="D341" t="s">
        <v>105</v>
      </c>
      <c r="E341" t="s">
        <v>106</v>
      </c>
      <c r="F341">
        <v>0.63600000000000001</v>
      </c>
      <c r="G341" t="s">
        <v>14</v>
      </c>
    </row>
    <row r="342" spans="1:7" x14ac:dyDescent="0.25">
      <c r="A342">
        <v>29</v>
      </c>
      <c r="B342" t="s">
        <v>141</v>
      </c>
      <c r="C342">
        <v>50</v>
      </c>
      <c r="D342" t="s">
        <v>107</v>
      </c>
      <c r="E342" t="s">
        <v>15</v>
      </c>
      <c r="F342">
        <v>14.021000000000001</v>
      </c>
      <c r="G342" t="s">
        <v>14</v>
      </c>
    </row>
    <row r="343" spans="1:7" x14ac:dyDescent="0.25">
      <c r="A343">
        <v>29</v>
      </c>
      <c r="B343" t="s">
        <v>141</v>
      </c>
      <c r="C343">
        <v>60</v>
      </c>
      <c r="D343" t="s">
        <v>18</v>
      </c>
      <c r="E343" t="s">
        <v>15</v>
      </c>
      <c r="F343">
        <v>86.227999999999994</v>
      </c>
      <c r="G343" t="s">
        <v>14</v>
      </c>
    </row>
    <row r="344" spans="1:7" x14ac:dyDescent="0.25">
      <c r="A344">
        <v>29</v>
      </c>
      <c r="B344" t="s">
        <v>141</v>
      </c>
      <c r="C344">
        <v>70</v>
      </c>
      <c r="D344" t="s">
        <v>113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141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141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141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141</v>
      </c>
      <c r="C348">
        <v>110</v>
      </c>
      <c r="D348" t="s">
        <v>111</v>
      </c>
      <c r="E348" t="s">
        <v>13</v>
      </c>
      <c r="F348">
        <v>1.2430000000000001</v>
      </c>
      <c r="G348" t="s">
        <v>14</v>
      </c>
    </row>
    <row r="349" spans="1:7" x14ac:dyDescent="0.25">
      <c r="A349">
        <v>29</v>
      </c>
      <c r="B349" t="s">
        <v>141</v>
      </c>
      <c r="C349">
        <v>120</v>
      </c>
      <c r="D349" t="s">
        <v>210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142</v>
      </c>
      <c r="C350">
        <v>10</v>
      </c>
      <c r="D350" t="s">
        <v>211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142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142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142</v>
      </c>
      <c r="C353">
        <v>40</v>
      </c>
      <c r="D353" t="s">
        <v>105</v>
      </c>
      <c r="E353" t="s">
        <v>106</v>
      </c>
      <c r="F353">
        <v>0.67200000000000004</v>
      </c>
      <c r="G353" t="s">
        <v>14</v>
      </c>
    </row>
    <row r="354" spans="1:7" x14ac:dyDescent="0.25">
      <c r="A354">
        <v>30</v>
      </c>
      <c r="B354" t="s">
        <v>142</v>
      </c>
      <c r="C354">
        <v>50</v>
      </c>
      <c r="D354" t="s">
        <v>107</v>
      </c>
      <c r="E354" t="s">
        <v>15</v>
      </c>
      <c r="F354">
        <v>14.326000000000001</v>
      </c>
      <c r="G354" t="s">
        <v>14</v>
      </c>
    </row>
    <row r="355" spans="1:7" x14ac:dyDescent="0.25">
      <c r="A355">
        <v>30</v>
      </c>
      <c r="B355" t="s">
        <v>142</v>
      </c>
      <c r="C355">
        <v>60</v>
      </c>
      <c r="D355" t="s">
        <v>18</v>
      </c>
      <c r="E355" t="s">
        <v>15</v>
      </c>
      <c r="F355">
        <v>88.102000000000004</v>
      </c>
      <c r="G355" t="s">
        <v>14</v>
      </c>
    </row>
    <row r="356" spans="1:7" x14ac:dyDescent="0.25">
      <c r="A356">
        <v>30</v>
      </c>
      <c r="B356" t="s">
        <v>142</v>
      </c>
      <c r="C356">
        <v>70</v>
      </c>
      <c r="D356" t="s">
        <v>113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142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142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142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142</v>
      </c>
      <c r="C360">
        <v>110</v>
      </c>
      <c r="D360" t="s">
        <v>111</v>
      </c>
      <c r="E360" t="s">
        <v>13</v>
      </c>
      <c r="F360">
        <v>1.2430000000000001</v>
      </c>
      <c r="G360" t="s">
        <v>14</v>
      </c>
    </row>
    <row r="361" spans="1:7" x14ac:dyDescent="0.25">
      <c r="A361">
        <v>30</v>
      </c>
      <c r="B361" t="s">
        <v>142</v>
      </c>
      <c r="C361">
        <v>120</v>
      </c>
      <c r="D361" t="s">
        <v>212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143</v>
      </c>
      <c r="C362">
        <v>10</v>
      </c>
      <c r="D362" t="s">
        <v>213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143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143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143</v>
      </c>
      <c r="C365">
        <v>40</v>
      </c>
      <c r="D365" t="s">
        <v>105</v>
      </c>
      <c r="E365" t="s">
        <v>106</v>
      </c>
      <c r="F365">
        <v>0.74399999999999999</v>
      </c>
      <c r="G365" t="s">
        <v>14</v>
      </c>
    </row>
    <row r="366" spans="1:7" x14ac:dyDescent="0.25">
      <c r="A366">
        <v>31</v>
      </c>
      <c r="B366" t="s">
        <v>143</v>
      </c>
      <c r="C366">
        <v>50</v>
      </c>
      <c r="D366" t="s">
        <v>107</v>
      </c>
      <c r="E366" t="s">
        <v>15</v>
      </c>
      <c r="F366">
        <v>14.935</v>
      </c>
      <c r="G366" t="s">
        <v>14</v>
      </c>
    </row>
    <row r="367" spans="1:7" x14ac:dyDescent="0.25">
      <c r="A367">
        <v>31</v>
      </c>
      <c r="B367" t="s">
        <v>143</v>
      </c>
      <c r="C367">
        <v>60</v>
      </c>
      <c r="D367" t="s">
        <v>18</v>
      </c>
      <c r="E367" t="s">
        <v>15</v>
      </c>
      <c r="F367">
        <v>91.850999999999999</v>
      </c>
      <c r="G367" t="s">
        <v>14</v>
      </c>
    </row>
    <row r="368" spans="1:7" x14ac:dyDescent="0.25">
      <c r="A368">
        <v>31</v>
      </c>
      <c r="B368" t="s">
        <v>143</v>
      </c>
      <c r="C368">
        <v>70</v>
      </c>
      <c r="D368" t="s">
        <v>113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143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143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143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143</v>
      </c>
      <c r="C372">
        <v>110</v>
      </c>
      <c r="D372" t="s">
        <v>111</v>
      </c>
      <c r="E372" t="s">
        <v>13</v>
      </c>
      <c r="F372">
        <v>1.2430000000000001</v>
      </c>
      <c r="G372" t="s">
        <v>14</v>
      </c>
    </row>
    <row r="373" spans="1:7" x14ac:dyDescent="0.25">
      <c r="A373">
        <v>31</v>
      </c>
      <c r="B373" t="s">
        <v>143</v>
      </c>
      <c r="C373">
        <v>120</v>
      </c>
      <c r="D373" t="s">
        <v>214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144</v>
      </c>
      <c r="C374">
        <v>10</v>
      </c>
      <c r="D374" t="s">
        <v>215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144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144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144</v>
      </c>
      <c r="C377">
        <v>40</v>
      </c>
      <c r="D377" t="s">
        <v>105</v>
      </c>
      <c r="E377" t="s">
        <v>106</v>
      </c>
      <c r="F377">
        <v>0.81599999999999995</v>
      </c>
      <c r="G377" t="s">
        <v>14</v>
      </c>
    </row>
    <row r="378" spans="1:7" x14ac:dyDescent="0.25">
      <c r="A378">
        <v>32</v>
      </c>
      <c r="B378" t="s">
        <v>144</v>
      </c>
      <c r="C378">
        <v>50</v>
      </c>
      <c r="D378" t="s">
        <v>107</v>
      </c>
      <c r="E378" t="s">
        <v>15</v>
      </c>
      <c r="F378">
        <v>15.545</v>
      </c>
      <c r="G378" t="s">
        <v>14</v>
      </c>
    </row>
    <row r="379" spans="1:7" x14ac:dyDescent="0.25">
      <c r="A379">
        <v>32</v>
      </c>
      <c r="B379" t="s">
        <v>144</v>
      </c>
      <c r="C379">
        <v>60</v>
      </c>
      <c r="D379" t="s">
        <v>18</v>
      </c>
      <c r="E379" t="s">
        <v>15</v>
      </c>
      <c r="F379">
        <v>95.600999999999999</v>
      </c>
      <c r="G379" t="s">
        <v>14</v>
      </c>
    </row>
    <row r="380" spans="1:7" x14ac:dyDescent="0.25">
      <c r="A380">
        <v>32</v>
      </c>
      <c r="B380" t="s">
        <v>144</v>
      </c>
      <c r="C380">
        <v>70</v>
      </c>
      <c r="D380" t="s">
        <v>113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144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144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144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144</v>
      </c>
      <c r="C384">
        <v>110</v>
      </c>
      <c r="D384" t="s">
        <v>111</v>
      </c>
      <c r="E384" t="s">
        <v>13</v>
      </c>
      <c r="F384">
        <v>1.2430000000000001</v>
      </c>
      <c r="G384" t="s">
        <v>14</v>
      </c>
    </row>
    <row r="385" spans="1:7" x14ac:dyDescent="0.25">
      <c r="A385">
        <v>32</v>
      </c>
      <c r="B385" t="s">
        <v>144</v>
      </c>
      <c r="C385">
        <v>120</v>
      </c>
      <c r="D385" t="s">
        <v>216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145</v>
      </c>
      <c r="C386">
        <v>10</v>
      </c>
      <c r="D386" t="s">
        <v>217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145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145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145</v>
      </c>
      <c r="C389">
        <v>40</v>
      </c>
      <c r="D389" t="s">
        <v>105</v>
      </c>
      <c r="E389" t="s">
        <v>106</v>
      </c>
      <c r="F389">
        <v>0.40300000000000002</v>
      </c>
      <c r="G389" t="s">
        <v>14</v>
      </c>
    </row>
    <row r="390" spans="1:7" x14ac:dyDescent="0.25">
      <c r="A390">
        <v>33</v>
      </c>
      <c r="B390" t="s">
        <v>145</v>
      </c>
      <c r="C390">
        <v>50</v>
      </c>
      <c r="D390" t="s">
        <v>107</v>
      </c>
      <c r="E390" t="s">
        <v>15</v>
      </c>
      <c r="F390">
        <v>12.294</v>
      </c>
      <c r="G390" t="s">
        <v>14</v>
      </c>
    </row>
    <row r="391" spans="1:7" x14ac:dyDescent="0.25">
      <c r="A391">
        <v>33</v>
      </c>
      <c r="B391" t="s">
        <v>145</v>
      </c>
      <c r="C391">
        <v>60</v>
      </c>
      <c r="D391" t="s">
        <v>18</v>
      </c>
      <c r="E391" t="s">
        <v>15</v>
      </c>
      <c r="F391">
        <v>75.605999999999995</v>
      </c>
      <c r="G391" t="s">
        <v>14</v>
      </c>
    </row>
    <row r="392" spans="1:7" x14ac:dyDescent="0.25">
      <c r="A392">
        <v>33</v>
      </c>
      <c r="B392" t="s">
        <v>145</v>
      </c>
      <c r="C392">
        <v>70</v>
      </c>
      <c r="D392" t="s">
        <v>113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145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145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145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145</v>
      </c>
      <c r="C396">
        <v>110</v>
      </c>
      <c r="D396" t="s">
        <v>111</v>
      </c>
      <c r="E396" t="s">
        <v>13</v>
      </c>
      <c r="F396">
        <v>1.2969999999999999</v>
      </c>
      <c r="G396" t="s">
        <v>14</v>
      </c>
    </row>
    <row r="397" spans="1:7" x14ac:dyDescent="0.25">
      <c r="A397">
        <v>33</v>
      </c>
      <c r="B397" t="s">
        <v>145</v>
      </c>
      <c r="C397">
        <v>120</v>
      </c>
      <c r="D397" t="s">
        <v>218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146</v>
      </c>
      <c r="C398">
        <v>10</v>
      </c>
      <c r="D398" t="s">
        <v>219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146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146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146</v>
      </c>
      <c r="C401">
        <v>40</v>
      </c>
      <c r="D401" t="s">
        <v>105</v>
      </c>
      <c r="E401" t="s">
        <v>106</v>
      </c>
      <c r="F401">
        <v>0.47899999999999998</v>
      </c>
      <c r="G401" t="s">
        <v>14</v>
      </c>
    </row>
    <row r="402" spans="1:7" x14ac:dyDescent="0.25">
      <c r="A402">
        <v>34</v>
      </c>
      <c r="B402" t="s">
        <v>146</v>
      </c>
      <c r="C402">
        <v>50</v>
      </c>
      <c r="D402" t="s">
        <v>107</v>
      </c>
      <c r="E402" t="s">
        <v>15</v>
      </c>
      <c r="F402">
        <v>12.903</v>
      </c>
      <c r="G402" t="s">
        <v>14</v>
      </c>
    </row>
    <row r="403" spans="1:7" x14ac:dyDescent="0.25">
      <c r="A403">
        <v>34</v>
      </c>
      <c r="B403" t="s">
        <v>146</v>
      </c>
      <c r="C403">
        <v>60</v>
      </c>
      <c r="D403" t="s">
        <v>18</v>
      </c>
      <c r="E403" t="s">
        <v>15</v>
      </c>
      <c r="F403">
        <v>79.355000000000004</v>
      </c>
      <c r="G403" t="s">
        <v>14</v>
      </c>
    </row>
    <row r="404" spans="1:7" x14ac:dyDescent="0.25">
      <c r="A404">
        <v>34</v>
      </c>
      <c r="B404" t="s">
        <v>146</v>
      </c>
      <c r="C404">
        <v>70</v>
      </c>
      <c r="D404" t="s">
        <v>113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146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146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146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146</v>
      </c>
      <c r="C408">
        <v>110</v>
      </c>
      <c r="D408" t="s">
        <v>111</v>
      </c>
      <c r="E408" t="s">
        <v>13</v>
      </c>
      <c r="F408">
        <v>1.2969999999999999</v>
      </c>
      <c r="G408" t="s">
        <v>14</v>
      </c>
    </row>
    <row r="409" spans="1:7" x14ac:dyDescent="0.25">
      <c r="A409">
        <v>34</v>
      </c>
      <c r="B409" t="s">
        <v>146</v>
      </c>
      <c r="C409">
        <v>120</v>
      </c>
      <c r="D409" t="s">
        <v>220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147</v>
      </c>
      <c r="C410">
        <v>10</v>
      </c>
      <c r="D410" t="s">
        <v>221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147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147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147</v>
      </c>
      <c r="C413">
        <v>40</v>
      </c>
      <c r="D413" t="s">
        <v>105</v>
      </c>
      <c r="E413" t="s">
        <v>106</v>
      </c>
      <c r="F413">
        <v>0.55500000000000005</v>
      </c>
      <c r="G413" t="s">
        <v>14</v>
      </c>
    </row>
    <row r="414" spans="1:7" x14ac:dyDescent="0.25">
      <c r="A414">
        <v>35</v>
      </c>
      <c r="B414" t="s">
        <v>147</v>
      </c>
      <c r="C414">
        <v>50</v>
      </c>
      <c r="D414" t="s">
        <v>107</v>
      </c>
      <c r="E414" t="s">
        <v>15</v>
      </c>
      <c r="F414">
        <v>13.513</v>
      </c>
      <c r="G414" t="s">
        <v>14</v>
      </c>
    </row>
    <row r="415" spans="1:7" x14ac:dyDescent="0.25">
      <c r="A415">
        <v>35</v>
      </c>
      <c r="B415" t="s">
        <v>147</v>
      </c>
      <c r="C415">
        <v>60</v>
      </c>
      <c r="D415" t="s">
        <v>18</v>
      </c>
      <c r="E415" t="s">
        <v>15</v>
      </c>
      <c r="F415">
        <v>83.103999999999999</v>
      </c>
      <c r="G415" t="s">
        <v>14</v>
      </c>
    </row>
    <row r="416" spans="1:7" x14ac:dyDescent="0.25">
      <c r="A416">
        <v>35</v>
      </c>
      <c r="B416" t="s">
        <v>147</v>
      </c>
      <c r="C416">
        <v>70</v>
      </c>
      <c r="D416" t="s">
        <v>113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147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147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147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147</v>
      </c>
      <c r="C420">
        <v>110</v>
      </c>
      <c r="D420" t="s">
        <v>111</v>
      </c>
      <c r="E420" t="s">
        <v>13</v>
      </c>
      <c r="F420">
        <v>1.2969999999999999</v>
      </c>
      <c r="G420" t="s">
        <v>14</v>
      </c>
    </row>
    <row r="421" spans="1:7" x14ac:dyDescent="0.25">
      <c r="A421">
        <v>35</v>
      </c>
      <c r="B421" t="s">
        <v>147</v>
      </c>
      <c r="C421">
        <v>120</v>
      </c>
      <c r="D421" t="s">
        <v>222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148</v>
      </c>
      <c r="C422">
        <v>10</v>
      </c>
      <c r="D422" t="s">
        <v>223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148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148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148</v>
      </c>
      <c r="C425">
        <v>40</v>
      </c>
      <c r="D425" t="s">
        <v>105</v>
      </c>
      <c r="E425" t="s">
        <v>106</v>
      </c>
      <c r="F425">
        <v>0.63</v>
      </c>
      <c r="G425" t="s">
        <v>14</v>
      </c>
    </row>
    <row r="426" spans="1:7" x14ac:dyDescent="0.25">
      <c r="A426">
        <v>36</v>
      </c>
      <c r="B426" t="s">
        <v>148</v>
      </c>
      <c r="C426">
        <v>50</v>
      </c>
      <c r="D426" t="s">
        <v>107</v>
      </c>
      <c r="E426" t="s">
        <v>15</v>
      </c>
      <c r="F426">
        <v>14.122</v>
      </c>
      <c r="G426" t="s">
        <v>14</v>
      </c>
    </row>
    <row r="427" spans="1:7" x14ac:dyDescent="0.25">
      <c r="A427">
        <v>36</v>
      </c>
      <c r="B427" t="s">
        <v>148</v>
      </c>
      <c r="C427">
        <v>60</v>
      </c>
      <c r="D427" t="s">
        <v>18</v>
      </c>
      <c r="E427" t="s">
        <v>15</v>
      </c>
      <c r="F427">
        <v>86.852999999999994</v>
      </c>
      <c r="G427" t="s">
        <v>14</v>
      </c>
    </row>
    <row r="428" spans="1:7" x14ac:dyDescent="0.25">
      <c r="A428">
        <v>36</v>
      </c>
      <c r="B428" t="s">
        <v>148</v>
      </c>
      <c r="C428">
        <v>70</v>
      </c>
      <c r="D428" t="s">
        <v>113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148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148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148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148</v>
      </c>
      <c r="C432">
        <v>110</v>
      </c>
      <c r="D432" t="s">
        <v>111</v>
      </c>
      <c r="E432" t="s">
        <v>13</v>
      </c>
      <c r="F432">
        <v>1.2969999999999999</v>
      </c>
      <c r="G432" t="s">
        <v>14</v>
      </c>
    </row>
    <row r="433" spans="1:7" x14ac:dyDescent="0.25">
      <c r="A433">
        <v>36</v>
      </c>
      <c r="B433" t="s">
        <v>148</v>
      </c>
      <c r="C433">
        <v>120</v>
      </c>
      <c r="D433" t="s">
        <v>224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149</v>
      </c>
      <c r="C434">
        <v>10</v>
      </c>
      <c r="D434" t="s">
        <v>225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149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149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149</v>
      </c>
      <c r="C437">
        <v>40</v>
      </c>
      <c r="D437" t="s">
        <v>105</v>
      </c>
      <c r="E437" t="s">
        <v>106</v>
      </c>
      <c r="F437">
        <v>0.66800000000000004</v>
      </c>
      <c r="G437" t="s">
        <v>14</v>
      </c>
    </row>
    <row r="438" spans="1:7" x14ac:dyDescent="0.25">
      <c r="A438">
        <v>37</v>
      </c>
      <c r="B438" t="s">
        <v>149</v>
      </c>
      <c r="C438">
        <v>50</v>
      </c>
      <c r="D438" t="s">
        <v>107</v>
      </c>
      <c r="E438" t="s">
        <v>15</v>
      </c>
      <c r="F438">
        <v>14.427</v>
      </c>
      <c r="G438" t="s">
        <v>14</v>
      </c>
    </row>
    <row r="439" spans="1:7" x14ac:dyDescent="0.25">
      <c r="A439">
        <v>37</v>
      </c>
      <c r="B439" t="s">
        <v>149</v>
      </c>
      <c r="C439">
        <v>60</v>
      </c>
      <c r="D439" t="s">
        <v>18</v>
      </c>
      <c r="E439" t="s">
        <v>15</v>
      </c>
      <c r="F439">
        <v>88.727000000000004</v>
      </c>
      <c r="G439" t="s">
        <v>14</v>
      </c>
    </row>
    <row r="440" spans="1:7" x14ac:dyDescent="0.25">
      <c r="A440">
        <v>37</v>
      </c>
      <c r="B440" t="s">
        <v>149</v>
      </c>
      <c r="C440">
        <v>70</v>
      </c>
      <c r="D440" t="s">
        <v>113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149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149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149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149</v>
      </c>
      <c r="C444">
        <v>110</v>
      </c>
      <c r="D444" t="s">
        <v>111</v>
      </c>
      <c r="E444" t="s">
        <v>13</v>
      </c>
      <c r="F444">
        <v>1.2969999999999999</v>
      </c>
      <c r="G444" t="s">
        <v>14</v>
      </c>
    </row>
    <row r="445" spans="1:7" x14ac:dyDescent="0.25">
      <c r="A445">
        <v>37</v>
      </c>
      <c r="B445" t="s">
        <v>149</v>
      </c>
      <c r="C445">
        <v>120</v>
      </c>
      <c r="D445" t="s">
        <v>226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150</v>
      </c>
      <c r="C446">
        <v>10</v>
      </c>
      <c r="D446" t="s">
        <v>227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150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150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150</v>
      </c>
      <c r="C449">
        <v>40</v>
      </c>
      <c r="D449" t="s">
        <v>105</v>
      </c>
      <c r="E449" t="s">
        <v>106</v>
      </c>
      <c r="F449">
        <v>0.70599999999999996</v>
      </c>
      <c r="G449" t="s">
        <v>14</v>
      </c>
    </row>
    <row r="450" spans="1:7" x14ac:dyDescent="0.25">
      <c r="A450">
        <v>38</v>
      </c>
      <c r="B450" t="s">
        <v>150</v>
      </c>
      <c r="C450">
        <v>50</v>
      </c>
      <c r="D450" t="s">
        <v>107</v>
      </c>
      <c r="E450" t="s">
        <v>15</v>
      </c>
      <c r="F450">
        <v>14.731999999999999</v>
      </c>
      <c r="G450" t="s">
        <v>14</v>
      </c>
    </row>
    <row r="451" spans="1:7" x14ac:dyDescent="0.25">
      <c r="A451">
        <v>38</v>
      </c>
      <c r="B451" t="s">
        <v>150</v>
      </c>
      <c r="C451">
        <v>60</v>
      </c>
      <c r="D451" t="s">
        <v>18</v>
      </c>
      <c r="E451" t="s">
        <v>15</v>
      </c>
      <c r="F451">
        <v>90.602000000000004</v>
      </c>
      <c r="G451" t="s">
        <v>14</v>
      </c>
    </row>
    <row r="452" spans="1:7" x14ac:dyDescent="0.25">
      <c r="A452">
        <v>38</v>
      </c>
      <c r="B452" t="s">
        <v>150</v>
      </c>
      <c r="C452">
        <v>70</v>
      </c>
      <c r="D452" t="s">
        <v>113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150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150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150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150</v>
      </c>
      <c r="C456">
        <v>110</v>
      </c>
      <c r="D456" t="s">
        <v>111</v>
      </c>
      <c r="E456" t="s">
        <v>13</v>
      </c>
      <c r="F456">
        <v>1.2969999999999999</v>
      </c>
      <c r="G456" t="s">
        <v>14</v>
      </c>
    </row>
    <row r="457" spans="1:7" x14ac:dyDescent="0.25">
      <c r="A457">
        <v>38</v>
      </c>
      <c r="B457" t="s">
        <v>150</v>
      </c>
      <c r="C457">
        <v>120</v>
      </c>
      <c r="D457" t="s">
        <v>228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151</v>
      </c>
      <c r="C458">
        <v>10</v>
      </c>
      <c r="D458" t="s">
        <v>229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151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151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151</v>
      </c>
      <c r="C461">
        <v>40</v>
      </c>
      <c r="D461" t="s">
        <v>105</v>
      </c>
      <c r="E461" t="s">
        <v>106</v>
      </c>
      <c r="F461">
        <v>0.78200000000000003</v>
      </c>
      <c r="G461" t="s">
        <v>14</v>
      </c>
    </row>
    <row r="462" spans="1:7" x14ac:dyDescent="0.25">
      <c r="A462">
        <v>39</v>
      </c>
      <c r="B462" t="s">
        <v>151</v>
      </c>
      <c r="C462">
        <v>50</v>
      </c>
      <c r="D462" t="s">
        <v>107</v>
      </c>
      <c r="E462" t="s">
        <v>15</v>
      </c>
      <c r="F462">
        <v>15.342000000000001</v>
      </c>
      <c r="G462" t="s">
        <v>14</v>
      </c>
    </row>
    <row r="463" spans="1:7" x14ac:dyDescent="0.25">
      <c r="A463">
        <v>39</v>
      </c>
      <c r="B463" t="s">
        <v>151</v>
      </c>
      <c r="C463">
        <v>60</v>
      </c>
      <c r="D463" t="s">
        <v>18</v>
      </c>
      <c r="E463" t="s">
        <v>15</v>
      </c>
      <c r="F463">
        <v>94.350999999999999</v>
      </c>
      <c r="G463" t="s">
        <v>14</v>
      </c>
    </row>
    <row r="464" spans="1:7" x14ac:dyDescent="0.25">
      <c r="A464">
        <v>39</v>
      </c>
      <c r="B464" t="s">
        <v>151</v>
      </c>
      <c r="C464">
        <v>70</v>
      </c>
      <c r="D464" t="s">
        <v>113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151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151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151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151</v>
      </c>
      <c r="C468">
        <v>110</v>
      </c>
      <c r="D468" t="s">
        <v>111</v>
      </c>
      <c r="E468" t="s">
        <v>13</v>
      </c>
      <c r="F468">
        <v>1.2969999999999999</v>
      </c>
      <c r="G468" t="s">
        <v>14</v>
      </c>
    </row>
    <row r="469" spans="1:7" x14ac:dyDescent="0.25">
      <c r="A469">
        <v>39</v>
      </c>
      <c r="B469" t="s">
        <v>151</v>
      </c>
      <c r="C469">
        <v>120</v>
      </c>
      <c r="D469" t="s">
        <v>230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152</v>
      </c>
      <c r="C470">
        <v>10</v>
      </c>
      <c r="D470" t="s">
        <v>231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152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152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152</v>
      </c>
      <c r="C473">
        <v>40</v>
      </c>
      <c r="D473" t="s">
        <v>105</v>
      </c>
      <c r="E473" t="s">
        <v>106</v>
      </c>
      <c r="F473">
        <v>0.85699999999999998</v>
      </c>
      <c r="G473" t="s">
        <v>14</v>
      </c>
    </row>
    <row r="474" spans="1:7" x14ac:dyDescent="0.25">
      <c r="A474">
        <v>40</v>
      </c>
      <c r="B474" t="s">
        <v>152</v>
      </c>
      <c r="C474">
        <v>50</v>
      </c>
      <c r="D474" t="s">
        <v>107</v>
      </c>
      <c r="E474" t="s">
        <v>15</v>
      </c>
      <c r="F474">
        <v>15.951000000000001</v>
      </c>
      <c r="G474" t="s">
        <v>14</v>
      </c>
    </row>
    <row r="475" spans="1:7" x14ac:dyDescent="0.25">
      <c r="A475">
        <v>40</v>
      </c>
      <c r="B475" t="s">
        <v>152</v>
      </c>
      <c r="C475">
        <v>60</v>
      </c>
      <c r="D475" t="s">
        <v>18</v>
      </c>
      <c r="E475" t="s">
        <v>15</v>
      </c>
      <c r="F475">
        <v>98.1</v>
      </c>
      <c r="G475" t="s">
        <v>14</v>
      </c>
    </row>
    <row r="476" spans="1:7" x14ac:dyDescent="0.25">
      <c r="A476">
        <v>40</v>
      </c>
      <c r="B476" t="s">
        <v>152</v>
      </c>
      <c r="C476">
        <v>70</v>
      </c>
      <c r="D476" t="s">
        <v>113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152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152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152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152</v>
      </c>
      <c r="C480">
        <v>110</v>
      </c>
      <c r="D480" t="s">
        <v>111</v>
      </c>
      <c r="E480" t="s">
        <v>13</v>
      </c>
      <c r="F480">
        <v>1.2969999999999999</v>
      </c>
      <c r="G480" t="s">
        <v>14</v>
      </c>
    </row>
    <row r="481" spans="1:7" x14ac:dyDescent="0.25">
      <c r="A481">
        <v>40</v>
      </c>
      <c r="B481" t="s">
        <v>152</v>
      </c>
      <c r="C481">
        <v>120</v>
      </c>
      <c r="D481" t="s">
        <v>232</v>
      </c>
      <c r="E481" t="s">
        <v>11</v>
      </c>
      <c r="F481">
        <v>1</v>
      </c>
      <c r="G48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8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7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7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8" t="s">
        <v>49</v>
      </c>
      <c r="C4" s="28" t="s">
        <v>50</v>
      </c>
      <c r="D4" s="41" t="s">
        <v>51</v>
      </c>
      <c r="E4" s="28" t="s">
        <v>3</v>
      </c>
      <c r="F4" s="41" t="s">
        <v>52</v>
      </c>
      <c r="G4" s="28" t="s">
        <v>53</v>
      </c>
      <c r="H4" s="28" t="s">
        <v>6</v>
      </c>
      <c r="I4" s="28" t="s">
        <v>54</v>
      </c>
      <c r="J4" s="41" t="s">
        <v>55</v>
      </c>
      <c r="K4" s="41" t="s">
        <v>56</v>
      </c>
      <c r="L4" s="41" t="s">
        <v>57</v>
      </c>
      <c r="M4" s="29" t="s">
        <v>58</v>
      </c>
      <c r="N4" s="30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112</v>
      </c>
      <c r="D5" s="3"/>
      <c r="E5" s="3" t="s">
        <v>112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153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112</v>
      </c>
      <c r="D6" s="3"/>
      <c r="E6" s="3" t="s">
        <v>112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112</v>
      </c>
      <c r="D7" s="3"/>
      <c r="E7" s="3" t="s">
        <v>112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112</v>
      </c>
      <c r="D8" s="3"/>
      <c r="E8" s="3" t="s">
        <v>112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0.34499999999999997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112</v>
      </c>
      <c r="D9" s="3"/>
      <c r="E9" s="3" t="s">
        <v>112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112</v>
      </c>
      <c r="D10" s="3"/>
      <c r="E10" s="3" t="s">
        <v>112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112</v>
      </c>
      <c r="D11" s="3"/>
      <c r="E11" s="3" t="s">
        <v>112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113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112</v>
      </c>
      <c r="D12" s="3"/>
      <c r="E12" s="3" t="s">
        <v>112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112</v>
      </c>
      <c r="D13" s="3"/>
      <c r="E13" s="3" t="s">
        <v>112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112</v>
      </c>
      <c r="D14" s="3"/>
      <c r="E14" s="3" t="s">
        <v>112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112</v>
      </c>
      <c r="D15" s="3"/>
      <c r="E15" s="3" t="s">
        <v>112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0.60799999999999998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112</v>
      </c>
      <c r="D16" s="3"/>
      <c r="E16" s="3" t="s">
        <v>112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154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155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0.41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11.683999999999999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71.856999999999999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113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0.68899999999999995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156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157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0.47399999999999998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12.294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75.605999999999995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113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0.77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158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116</v>
      </c>
      <c r="D41" s="3"/>
      <c r="E41" s="3" t="s">
        <v>116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159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116</v>
      </c>
      <c r="D42" s="3"/>
      <c r="E42" s="3" t="s">
        <v>116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116</v>
      </c>
      <c r="D43" s="3"/>
      <c r="E43" s="3" t="s">
        <v>116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0.53900000000000003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12.903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79.355000000000004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113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0.85099999999999998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160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161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0.57199999999999995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13.208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81.228999999999999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113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0.89200000000000002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162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118</v>
      </c>
      <c r="D65" s="3"/>
      <c r="E65" s="3" t="s">
        <v>118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163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118</v>
      </c>
      <c r="D66" s="3"/>
      <c r="E66" s="3" t="s">
        <v>118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118</v>
      </c>
      <c r="D67" s="3"/>
      <c r="E67" s="3" t="s">
        <v>118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118</v>
      </c>
      <c r="D68" s="3"/>
      <c r="E68" s="3" t="s">
        <v>118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0.60399999999999998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118</v>
      </c>
      <c r="D69" s="3"/>
      <c r="E69" s="3" t="s">
        <v>118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13.513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83.103999999999999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113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0.93200000000000005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164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165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0.66900000000000004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14.122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86.852999999999994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1.0129999999999999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166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120</v>
      </c>
      <c r="D89" s="3"/>
      <c r="E89" s="3" t="s">
        <v>120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167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120</v>
      </c>
      <c r="D90" s="3"/>
      <c r="E90" s="3" t="s">
        <v>120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120</v>
      </c>
      <c r="D91" s="3"/>
      <c r="E91" s="3" t="s">
        <v>120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120</v>
      </c>
      <c r="D92" s="3"/>
      <c r="E92" s="3" t="s">
        <v>120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0.73299999999999998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120</v>
      </c>
      <c r="D93" s="3"/>
      <c r="E93" s="3" t="s">
        <v>120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14.731999999999999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120</v>
      </c>
      <c r="D94" s="3"/>
      <c r="E94" s="3" t="s">
        <v>120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90.602000000000004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120</v>
      </c>
      <c r="D95" s="3"/>
      <c r="E95" s="3" t="s">
        <v>120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113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1.0940000000000001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168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121</v>
      </c>
      <c r="D101" s="3"/>
      <c r="E101" s="3" t="s">
        <v>121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169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121</v>
      </c>
      <c r="D102" s="3"/>
      <c r="E102" s="3" t="s">
        <v>121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121</v>
      </c>
      <c r="D103" s="3"/>
      <c r="E103" s="3" t="s">
        <v>121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121</v>
      </c>
      <c r="D104" s="3"/>
      <c r="E104" s="3" t="s">
        <v>121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0.36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121</v>
      </c>
      <c r="D105" s="3"/>
      <c r="E105" s="3" t="s">
        <v>121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11.379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121</v>
      </c>
      <c r="D106" s="3"/>
      <c r="E106" s="3" t="s">
        <v>121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69.981999999999999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121</v>
      </c>
      <c r="D107" s="3"/>
      <c r="E107" s="3" t="s">
        <v>121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113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121</v>
      </c>
      <c r="D108" s="3"/>
      <c r="E108" s="3" t="s">
        <v>121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0.60799999999999998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170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122</v>
      </c>
      <c r="D113" s="3"/>
      <c r="E113" s="3" t="s">
        <v>122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171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122</v>
      </c>
      <c r="D114" s="3"/>
      <c r="E114" s="3" t="s">
        <v>122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122</v>
      </c>
      <c r="D115" s="3"/>
      <c r="E115" s="3" t="s">
        <v>122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122</v>
      </c>
      <c r="D116" s="3"/>
      <c r="E116" s="3" t="s">
        <v>122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0.42699999999999999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122</v>
      </c>
      <c r="D117" s="3"/>
      <c r="E117" s="3" t="s">
        <v>122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11.989000000000001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122</v>
      </c>
      <c r="D118" s="3"/>
      <c r="E118" s="3" t="s">
        <v>122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73.730999999999995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122</v>
      </c>
      <c r="D119" s="3"/>
      <c r="E119" s="3" t="s">
        <v>122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113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122</v>
      </c>
      <c r="D120" s="3"/>
      <c r="E120" s="3" t="s">
        <v>122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122</v>
      </c>
      <c r="D121" s="3"/>
      <c r="E121" s="3" t="s">
        <v>122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0.68899999999999995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172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123</v>
      </c>
      <c r="D125" s="3"/>
      <c r="E125" s="3" t="s">
        <v>123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173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123</v>
      </c>
      <c r="D126" s="3"/>
      <c r="E126" s="3" t="s">
        <v>123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123</v>
      </c>
      <c r="D127" s="3"/>
      <c r="E127" s="3" t="s">
        <v>123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123</v>
      </c>
      <c r="D128" s="3"/>
      <c r="E128" s="3" t="s">
        <v>123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0.495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123</v>
      </c>
      <c r="D129" s="3"/>
      <c r="E129" s="3" t="s">
        <v>123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12.598000000000001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123</v>
      </c>
      <c r="D130" s="3"/>
      <c r="E130" s="3" t="s">
        <v>123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77.48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123</v>
      </c>
      <c r="D131" s="3"/>
      <c r="E131" s="3" t="s">
        <v>123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113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123</v>
      </c>
      <c r="D132" s="3"/>
      <c r="E132" s="3" t="s">
        <v>123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123</v>
      </c>
      <c r="D133" s="3"/>
      <c r="E133" s="3" t="s">
        <v>123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123</v>
      </c>
      <c r="D134" s="3"/>
      <c r="E134" s="3" t="s">
        <v>123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0.77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174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124</v>
      </c>
      <c r="D137" s="3"/>
      <c r="E137" s="3" t="s">
        <v>124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175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124</v>
      </c>
      <c r="D138" s="3"/>
      <c r="E138" s="3" t="s">
        <v>124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124</v>
      </c>
      <c r="D139" s="3"/>
      <c r="E139" s="3" t="s">
        <v>124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124</v>
      </c>
      <c r="D140" s="3"/>
      <c r="E140" s="3" t="s">
        <v>124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0.56200000000000006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124</v>
      </c>
      <c r="D141" s="3"/>
      <c r="E141" s="3" t="s">
        <v>124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13.208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124</v>
      </c>
      <c r="D142" s="3"/>
      <c r="E142" s="3" t="s">
        <v>124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81.228999999999999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124</v>
      </c>
      <c r="D143" s="3"/>
      <c r="E143" s="3" t="s">
        <v>124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113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124</v>
      </c>
      <c r="D144" s="3"/>
      <c r="E144" s="3" t="s">
        <v>124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124</v>
      </c>
      <c r="D145" s="3"/>
      <c r="E145" s="3" t="s">
        <v>124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124</v>
      </c>
      <c r="D146" s="3"/>
      <c r="E146" s="3" t="s">
        <v>124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124</v>
      </c>
      <c r="D147" s="3"/>
      <c r="E147" s="3" t="s">
        <v>124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0.85099999999999998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176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125</v>
      </c>
      <c r="D149" s="3"/>
      <c r="E149" s="3" t="s">
        <v>125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177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125</v>
      </c>
      <c r="D150" s="3"/>
      <c r="E150" s="3" t="s">
        <v>125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125</v>
      </c>
      <c r="D151" s="3"/>
      <c r="E151" s="3" t="s">
        <v>125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125</v>
      </c>
      <c r="D152" s="3"/>
      <c r="E152" s="3" t="s">
        <v>125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0.59599999999999997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125</v>
      </c>
      <c r="D153" s="3"/>
      <c r="E153" s="3" t="s">
        <v>125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13.513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125</v>
      </c>
      <c r="D154" s="3"/>
      <c r="E154" s="3" t="s">
        <v>125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83.103999999999999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125</v>
      </c>
      <c r="D155" s="3"/>
      <c r="E155" s="3" t="s">
        <v>125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113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125</v>
      </c>
      <c r="D156" s="3"/>
      <c r="E156" s="3" t="s">
        <v>125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125</v>
      </c>
      <c r="D157" s="3"/>
      <c r="E157" s="3" t="s">
        <v>125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125</v>
      </c>
      <c r="D158" s="3"/>
      <c r="E158" s="3" t="s">
        <v>125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125</v>
      </c>
      <c r="D159" s="3"/>
      <c r="E159" s="3" t="s">
        <v>125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0.89200000000000002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125</v>
      </c>
      <c r="D160" s="3"/>
      <c r="E160" s="3" t="s">
        <v>125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178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126</v>
      </c>
      <c r="D161" s="3"/>
      <c r="E161" s="3" t="s">
        <v>126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179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126</v>
      </c>
      <c r="D162" s="3"/>
      <c r="E162" s="3" t="s">
        <v>126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126</v>
      </c>
      <c r="D163" s="3"/>
      <c r="E163" s="3" t="s">
        <v>126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126</v>
      </c>
      <c r="D164" s="3"/>
      <c r="E164" s="3" t="s">
        <v>126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0.629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126</v>
      </c>
      <c r="D165" s="3"/>
      <c r="E165" s="3" t="s">
        <v>126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13.818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126</v>
      </c>
      <c r="D166" s="3"/>
      <c r="E166" s="3" t="s">
        <v>126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84.977999999999994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126</v>
      </c>
      <c r="D167" s="3"/>
      <c r="E167" s="3" t="s">
        <v>126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126</v>
      </c>
      <c r="D168" s="3"/>
      <c r="E168" s="3" t="s">
        <v>126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126</v>
      </c>
      <c r="D169" s="3"/>
      <c r="E169" s="3" t="s">
        <v>126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126</v>
      </c>
      <c r="D170" s="3"/>
      <c r="E170" s="3" t="s">
        <v>126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126</v>
      </c>
      <c r="D171" s="3"/>
      <c r="E171" s="3" t="s">
        <v>126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0.93200000000000005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126</v>
      </c>
      <c r="D172" s="3"/>
      <c r="E172" s="3" t="s">
        <v>126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180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127</v>
      </c>
      <c r="D173" s="3"/>
      <c r="E173" s="3" t="s">
        <v>127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181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127</v>
      </c>
      <c r="D174" s="3"/>
      <c r="E174" s="3" t="s">
        <v>127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127</v>
      </c>
      <c r="D175" s="3"/>
      <c r="E175" s="3" t="s">
        <v>127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127</v>
      </c>
      <c r="D176" s="3"/>
      <c r="E176" s="3" t="s">
        <v>127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0.69699999999999995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127</v>
      </c>
      <c r="D177" s="3"/>
      <c r="E177" s="3" t="s">
        <v>127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14.427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127</v>
      </c>
      <c r="D178" s="3"/>
      <c r="E178" s="3" t="s">
        <v>127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88.727000000000004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127</v>
      </c>
      <c r="D179" s="3"/>
      <c r="E179" s="3" t="s">
        <v>127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113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127</v>
      </c>
      <c r="D180" s="3"/>
      <c r="E180" s="3" t="s">
        <v>127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127</v>
      </c>
      <c r="D181" s="3"/>
      <c r="E181" s="3" t="s">
        <v>127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127</v>
      </c>
      <c r="D182" s="3"/>
      <c r="E182" s="3" t="s">
        <v>127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127</v>
      </c>
      <c r="D183" s="3"/>
      <c r="E183" s="3" t="s">
        <v>127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1.0129999999999999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127</v>
      </c>
      <c r="D184" s="3"/>
      <c r="E184" s="3" t="s">
        <v>127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182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128</v>
      </c>
      <c r="D185" s="3"/>
      <c r="E185" s="3" t="s">
        <v>128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183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128</v>
      </c>
      <c r="D186" s="3"/>
      <c r="E186" s="3" t="s">
        <v>128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128</v>
      </c>
      <c r="D187" s="3"/>
      <c r="E187" s="3" t="s">
        <v>128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128</v>
      </c>
      <c r="D188" s="3"/>
      <c r="E188" s="3" t="s">
        <v>128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0.76400000000000001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128</v>
      </c>
      <c r="D189" s="3"/>
      <c r="E189" s="3" t="s">
        <v>128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15.037000000000001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128</v>
      </c>
      <c r="D190" s="3"/>
      <c r="E190" s="3" t="s">
        <v>128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92.475999999999999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128</v>
      </c>
      <c r="D191" s="3"/>
      <c r="E191" s="3" t="s">
        <v>128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113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128</v>
      </c>
      <c r="D192" s="3"/>
      <c r="E192" s="3" t="s">
        <v>128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128</v>
      </c>
      <c r="D193" s="3"/>
      <c r="E193" s="3" t="s">
        <v>128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128</v>
      </c>
      <c r="D194" s="3"/>
      <c r="E194" s="3" t="s">
        <v>128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128</v>
      </c>
      <c r="D195" s="3"/>
      <c r="E195" s="3" t="s">
        <v>128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1.0940000000000001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128</v>
      </c>
      <c r="D196" s="3"/>
      <c r="E196" s="3" t="s">
        <v>128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184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129</v>
      </c>
      <c r="D197" s="3"/>
      <c r="E197" s="3" t="s">
        <v>129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185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129</v>
      </c>
      <c r="D198" s="3"/>
      <c r="E198" s="3" t="s">
        <v>129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129</v>
      </c>
      <c r="D199" s="3"/>
      <c r="E199" s="3" t="s">
        <v>129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129</v>
      </c>
      <c r="D200" s="3"/>
      <c r="E200" s="3" t="s">
        <v>129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0.374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129</v>
      </c>
      <c r="D201" s="3"/>
      <c r="E201" s="3" t="s">
        <v>129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11.683999999999999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129</v>
      </c>
      <c r="D202" s="3"/>
      <c r="E202" s="3" t="s">
        <v>129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71.856999999999999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129</v>
      </c>
      <c r="D203" s="3"/>
      <c r="E203" s="3" t="s">
        <v>129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113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129</v>
      </c>
      <c r="D204" s="3"/>
      <c r="E204" s="3" t="s">
        <v>129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129</v>
      </c>
      <c r="D205" s="3"/>
      <c r="E205" s="3" t="s">
        <v>129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129</v>
      </c>
      <c r="D206" s="3"/>
      <c r="E206" s="3" t="s">
        <v>129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129</v>
      </c>
      <c r="D207" s="3"/>
      <c r="E207" s="3" t="s">
        <v>129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0.60799999999999998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129</v>
      </c>
      <c r="D208" s="3"/>
      <c r="E208" s="3" t="s">
        <v>129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186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130</v>
      </c>
      <c r="D209" s="3"/>
      <c r="E209" s="3" t="s">
        <v>130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187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130</v>
      </c>
      <c r="D210" s="3"/>
      <c r="E210" s="3" t="s">
        <v>130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130</v>
      </c>
      <c r="D211" s="3"/>
      <c r="E211" s="3" t="s">
        <v>130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130</v>
      </c>
      <c r="D212" s="3"/>
      <c r="E212" s="3" t="s">
        <v>130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0.44400000000000001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130</v>
      </c>
      <c r="D213" s="3"/>
      <c r="E213" s="3" t="s">
        <v>130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12.294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130</v>
      </c>
      <c r="D214" s="3"/>
      <c r="E214" s="3" t="s">
        <v>130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75.605999999999995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130</v>
      </c>
      <c r="D215" s="3"/>
      <c r="E215" s="3" t="s">
        <v>130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113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130</v>
      </c>
      <c r="D216" s="3"/>
      <c r="E216" s="3" t="s">
        <v>130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130</v>
      </c>
      <c r="D217" s="3"/>
      <c r="E217" s="3" t="s">
        <v>130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130</v>
      </c>
      <c r="D218" s="3"/>
      <c r="E218" s="3" t="s">
        <v>130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130</v>
      </c>
      <c r="D219" s="3"/>
      <c r="E219" s="3" t="s">
        <v>130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0.68899999999999995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130</v>
      </c>
      <c r="D220" s="3"/>
      <c r="E220" s="3" t="s">
        <v>130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188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131</v>
      </c>
      <c r="D221" s="3"/>
      <c r="E221" s="3" t="s">
        <v>131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189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131</v>
      </c>
      <c r="D222" s="3"/>
      <c r="E222" s="3" t="s">
        <v>131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131</v>
      </c>
      <c r="D223" s="3"/>
      <c r="E223" s="3" t="s">
        <v>131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131</v>
      </c>
      <c r="D224" s="3"/>
      <c r="E224" s="3" t="s">
        <v>131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0.51500000000000001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131</v>
      </c>
      <c r="D225" s="3"/>
      <c r="E225" s="3" t="s">
        <v>131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12.903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131</v>
      </c>
      <c r="D226" s="3"/>
      <c r="E226" s="3" t="s">
        <v>131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79.355000000000004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131</v>
      </c>
      <c r="D227" s="3"/>
      <c r="E227" s="3" t="s">
        <v>131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113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131</v>
      </c>
      <c r="D228" s="3"/>
      <c r="E228" s="3" t="s">
        <v>131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131</v>
      </c>
      <c r="D229" s="3"/>
      <c r="E229" s="3" t="s">
        <v>131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131</v>
      </c>
      <c r="D230" s="3"/>
      <c r="E230" s="3" t="s">
        <v>131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131</v>
      </c>
      <c r="D231" s="3"/>
      <c r="E231" s="3" t="s">
        <v>131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0.77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131</v>
      </c>
      <c r="D232" s="3"/>
      <c r="E232" s="3" t="s">
        <v>131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190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132</v>
      </c>
      <c r="D233" s="3"/>
      <c r="E233" s="3" t="s">
        <v>132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191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132</v>
      </c>
      <c r="D234" s="3"/>
      <c r="E234" s="3" t="s">
        <v>132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132</v>
      </c>
      <c r="D235" s="3"/>
      <c r="E235" s="3" t="s">
        <v>132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132</v>
      </c>
      <c r="D236" s="3"/>
      <c r="E236" s="3" t="s">
        <v>132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0.58499999999999996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132</v>
      </c>
      <c r="D237" s="3"/>
      <c r="E237" s="3" t="s">
        <v>132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13.513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132</v>
      </c>
      <c r="D238" s="3"/>
      <c r="E238" s="3" t="s">
        <v>132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83.103999999999999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132</v>
      </c>
      <c r="D239" s="3"/>
      <c r="E239" s="3" t="s">
        <v>132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113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132</v>
      </c>
      <c r="D240" s="3"/>
      <c r="E240" s="3" t="s">
        <v>132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132</v>
      </c>
      <c r="D241" s="3"/>
      <c r="E241" s="3" t="s">
        <v>132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132</v>
      </c>
      <c r="D242" s="3"/>
      <c r="E242" s="3" t="s">
        <v>132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132</v>
      </c>
      <c r="D243" s="3"/>
      <c r="E243" s="3" t="s">
        <v>132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0.85099999999999998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132</v>
      </c>
      <c r="D244" s="3"/>
      <c r="E244" s="3" t="s">
        <v>132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192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133</v>
      </c>
      <c r="D245" s="3"/>
      <c r="E245" s="3" t="s">
        <v>133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193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133</v>
      </c>
      <c r="D246" s="3"/>
      <c r="E246" s="3" t="s">
        <v>133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133</v>
      </c>
      <c r="D247" s="3"/>
      <c r="E247" s="3" t="s">
        <v>133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133</v>
      </c>
      <c r="D248" s="3"/>
      <c r="E248" s="3" t="s">
        <v>133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0.62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133</v>
      </c>
      <c r="D249" s="3"/>
      <c r="E249" s="3" t="s">
        <v>133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13.818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133</v>
      </c>
      <c r="D250" s="3"/>
      <c r="E250" s="3" t="s">
        <v>133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84.977999999999994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133</v>
      </c>
      <c r="D251" s="3"/>
      <c r="E251" s="3" t="s">
        <v>133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133</v>
      </c>
      <c r="D252" s="3"/>
      <c r="E252" s="3" t="s">
        <v>133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133</v>
      </c>
      <c r="D253" s="3"/>
      <c r="E253" s="3" t="s">
        <v>133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133</v>
      </c>
      <c r="D254" s="3"/>
      <c r="E254" s="3" t="s">
        <v>133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133</v>
      </c>
      <c r="D255" s="3"/>
      <c r="E255" s="3" t="s">
        <v>133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0.89200000000000002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133</v>
      </c>
      <c r="D256" s="3"/>
      <c r="E256" s="3" t="s">
        <v>133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194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134</v>
      </c>
      <c r="D257" s="3"/>
      <c r="E257" s="3" t="s">
        <v>134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195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134</v>
      </c>
      <c r="D258" s="3"/>
      <c r="E258" s="3" t="s">
        <v>134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134</v>
      </c>
      <c r="D259" s="3"/>
      <c r="E259" s="3" t="s">
        <v>134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134</v>
      </c>
      <c r="D260" s="3"/>
      <c r="E260" s="3" t="s">
        <v>134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0.65500000000000003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134</v>
      </c>
      <c r="D261" s="3"/>
      <c r="E261" s="3" t="s">
        <v>134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14.122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134</v>
      </c>
      <c r="D262" s="3"/>
      <c r="E262" s="3" t="s">
        <v>134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86.852999999999994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134</v>
      </c>
      <c r="D263" s="3"/>
      <c r="E263" s="3" t="s">
        <v>134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113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134</v>
      </c>
      <c r="D264" s="3"/>
      <c r="E264" s="3" t="s">
        <v>134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134</v>
      </c>
      <c r="D265" s="3"/>
      <c r="E265" s="3" t="s">
        <v>134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134</v>
      </c>
      <c r="D266" s="3"/>
      <c r="E266" s="3" t="s">
        <v>134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134</v>
      </c>
      <c r="D267" s="3"/>
      <c r="E267" s="3" t="s">
        <v>134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0.93200000000000005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134</v>
      </c>
      <c r="D268" s="3"/>
      <c r="E268" s="3" t="s">
        <v>134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196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135</v>
      </c>
      <c r="D269" s="3"/>
      <c r="E269" s="3" t="s">
        <v>135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197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135</v>
      </c>
      <c r="D270" s="3"/>
      <c r="E270" s="3" t="s">
        <v>135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135</v>
      </c>
      <c r="D271" s="3"/>
      <c r="E271" s="3" t="s">
        <v>135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135</v>
      </c>
      <c r="D272" s="3"/>
      <c r="E272" s="3" t="s">
        <v>135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0.72499999999999998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135</v>
      </c>
      <c r="D273" s="3"/>
      <c r="E273" s="3" t="s">
        <v>135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14.731999999999999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135</v>
      </c>
      <c r="D274" s="3"/>
      <c r="E274" s="3" t="s">
        <v>135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90.602000000000004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135</v>
      </c>
      <c r="D275" s="3"/>
      <c r="E275" s="3" t="s">
        <v>135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113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135</v>
      </c>
      <c r="D276" s="3"/>
      <c r="E276" s="3" t="s">
        <v>135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135</v>
      </c>
      <c r="D277" s="3"/>
      <c r="E277" s="3" t="s">
        <v>135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135</v>
      </c>
      <c r="D278" s="3"/>
      <c r="E278" s="3" t="s">
        <v>135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135</v>
      </c>
      <c r="D279" s="3"/>
      <c r="E279" s="3" t="s">
        <v>135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1.0129999999999999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135</v>
      </c>
      <c r="D280" s="3"/>
      <c r="E280" s="3" t="s">
        <v>135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198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136</v>
      </c>
      <c r="D281" s="3"/>
      <c r="E281" s="3" t="s">
        <v>136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199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136</v>
      </c>
      <c r="D282" s="3"/>
      <c r="E282" s="3" t="s">
        <v>136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136</v>
      </c>
      <c r="D283" s="3"/>
      <c r="E283" s="3" t="s">
        <v>136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136</v>
      </c>
      <c r="D284" s="3"/>
      <c r="E284" s="3" t="s">
        <v>136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0.79500000000000004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136</v>
      </c>
      <c r="D285" s="3"/>
      <c r="E285" s="3" t="s">
        <v>136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15.342000000000001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136</v>
      </c>
      <c r="D286" s="3"/>
      <c r="E286" s="3" t="s">
        <v>136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94.350999999999999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136</v>
      </c>
      <c r="D287" s="3"/>
      <c r="E287" s="3" t="s">
        <v>136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113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136</v>
      </c>
      <c r="D288" s="3"/>
      <c r="E288" s="3" t="s">
        <v>136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136</v>
      </c>
      <c r="D289" s="3"/>
      <c r="E289" s="3" t="s">
        <v>136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136</v>
      </c>
      <c r="D290" s="3"/>
      <c r="E290" s="3" t="s">
        <v>136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136</v>
      </c>
      <c r="D291" s="3"/>
      <c r="E291" s="3" t="s">
        <v>136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1.0940000000000001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136</v>
      </c>
      <c r="D292" s="3"/>
      <c r="E292" s="3" t="s">
        <v>136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200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137</v>
      </c>
      <c r="D293" s="3"/>
      <c r="E293" s="3" t="s">
        <v>137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201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137</v>
      </c>
      <c r="D294" s="3"/>
      <c r="E294" s="3" t="s">
        <v>137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137</v>
      </c>
      <c r="D295" s="3"/>
      <c r="E295" s="3" t="s">
        <v>137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137</v>
      </c>
      <c r="D296" s="3"/>
      <c r="E296" s="3" t="s">
        <v>137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0.38400000000000001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137</v>
      </c>
      <c r="D297" s="3"/>
      <c r="E297" s="3" t="s">
        <v>137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11.887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137</v>
      </c>
      <c r="D298" s="3"/>
      <c r="E298" s="3" t="s">
        <v>137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73.105999999999995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137</v>
      </c>
      <c r="D299" s="3"/>
      <c r="E299" s="3" t="s">
        <v>137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137</v>
      </c>
      <c r="D300" s="3"/>
      <c r="E300" s="3" t="s">
        <v>137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137</v>
      </c>
      <c r="D301" s="3"/>
      <c r="E301" s="3" t="s">
        <v>137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137</v>
      </c>
      <c r="D302" s="3"/>
      <c r="E302" s="3" t="s">
        <v>137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137</v>
      </c>
      <c r="D303" s="3"/>
      <c r="E303" s="3" t="s">
        <v>137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1.2430000000000001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137</v>
      </c>
      <c r="D304" s="3"/>
      <c r="E304" s="3" t="s">
        <v>137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202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138</v>
      </c>
      <c r="D305" s="3"/>
      <c r="E305" s="3" t="s">
        <v>138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203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138</v>
      </c>
      <c r="D306" s="3"/>
      <c r="E306" s="3" t="s">
        <v>138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138</v>
      </c>
      <c r="D307" s="3"/>
      <c r="E307" s="3" t="s">
        <v>138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138</v>
      </c>
      <c r="D308" s="3"/>
      <c r="E308" s="3" t="s">
        <v>138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0.45600000000000002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138</v>
      </c>
      <c r="D309" s="3"/>
      <c r="E309" s="3" t="s">
        <v>138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12.497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138</v>
      </c>
      <c r="D310" s="3"/>
      <c r="E310" s="3" t="s">
        <v>138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76.855000000000004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138</v>
      </c>
      <c r="D311" s="3"/>
      <c r="E311" s="3" t="s">
        <v>138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113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138</v>
      </c>
      <c r="D312" s="3"/>
      <c r="E312" s="3" t="s">
        <v>138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138</v>
      </c>
      <c r="D313" s="3"/>
      <c r="E313" s="3" t="s">
        <v>138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138</v>
      </c>
      <c r="D314" s="3"/>
      <c r="E314" s="3" t="s">
        <v>138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138</v>
      </c>
      <c r="D315" s="3"/>
      <c r="E315" s="3" t="s">
        <v>138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1.2430000000000001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138</v>
      </c>
      <c r="D316" s="3"/>
      <c r="E316" s="3" t="s">
        <v>138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204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139</v>
      </c>
      <c r="D317" s="3"/>
      <c r="E317" s="3" t="s">
        <v>139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205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139</v>
      </c>
      <c r="D318" s="3"/>
      <c r="E318" s="3" t="s">
        <v>139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139</v>
      </c>
      <c r="D319" s="3"/>
      <c r="E319" s="3" t="s">
        <v>139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139</v>
      </c>
      <c r="D320" s="3"/>
      <c r="E320" s="3" t="s">
        <v>139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0.52800000000000002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139</v>
      </c>
      <c r="D321" s="3"/>
      <c r="E321" s="3" t="s">
        <v>139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13.106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139</v>
      </c>
      <c r="D322" s="3"/>
      <c r="E322" s="3" t="s">
        <v>139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80.603999999999999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139</v>
      </c>
      <c r="D323" s="3"/>
      <c r="E323" s="3" t="s">
        <v>139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113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139</v>
      </c>
      <c r="D324" s="3"/>
      <c r="E324" s="3" t="s">
        <v>139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139</v>
      </c>
      <c r="D325" s="3"/>
      <c r="E325" s="3" t="s">
        <v>139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139</v>
      </c>
      <c r="D326" s="3"/>
      <c r="E326" s="3" t="s">
        <v>139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139</v>
      </c>
      <c r="D327" s="3"/>
      <c r="E327" s="3" t="s">
        <v>139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1.2430000000000001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139</v>
      </c>
      <c r="D328" s="3"/>
      <c r="E328" s="3" t="s">
        <v>139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206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140</v>
      </c>
      <c r="D329" s="3"/>
      <c r="E329" s="3" t="s">
        <v>140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207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140</v>
      </c>
      <c r="D330" s="3"/>
      <c r="E330" s="3" t="s">
        <v>140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140</v>
      </c>
      <c r="D331" s="3"/>
      <c r="E331" s="3" t="s">
        <v>140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140</v>
      </c>
      <c r="D332" s="3"/>
      <c r="E332" s="3" t="s">
        <v>140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0.6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140</v>
      </c>
      <c r="D333" s="3"/>
      <c r="E333" s="3" t="s">
        <v>140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13.715999999999999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140</v>
      </c>
      <c r="D334" s="3"/>
      <c r="E334" s="3" t="s">
        <v>140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84.352999999999994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140</v>
      </c>
      <c r="D335" s="3"/>
      <c r="E335" s="3" t="s">
        <v>140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140</v>
      </c>
      <c r="D336" s="3"/>
      <c r="E336" s="3" t="s">
        <v>140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140</v>
      </c>
      <c r="D337" s="3"/>
      <c r="E337" s="3" t="s">
        <v>140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140</v>
      </c>
      <c r="D338" s="3"/>
      <c r="E338" s="3" t="s">
        <v>140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140</v>
      </c>
      <c r="D339" s="3"/>
      <c r="E339" s="3" t="s">
        <v>140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1.2430000000000001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140</v>
      </c>
      <c r="D340" s="3"/>
      <c r="E340" s="3" t="s">
        <v>140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208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141</v>
      </c>
      <c r="D341" s="3"/>
      <c r="E341" s="3" t="s">
        <v>141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209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141</v>
      </c>
      <c r="D342" s="3"/>
      <c r="E342" s="3" t="s">
        <v>141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141</v>
      </c>
      <c r="D343" s="3"/>
      <c r="E343" s="3" t="s">
        <v>141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141</v>
      </c>
      <c r="D344" s="3"/>
      <c r="E344" s="3" t="s">
        <v>141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0.63600000000000001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141</v>
      </c>
      <c r="D345" s="3"/>
      <c r="E345" s="3" t="s">
        <v>141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14.021000000000001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141</v>
      </c>
      <c r="D346" s="3"/>
      <c r="E346" s="3" t="s">
        <v>141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86.227999999999994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141</v>
      </c>
      <c r="D347" s="3"/>
      <c r="E347" s="3" t="s">
        <v>141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113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141</v>
      </c>
      <c r="D348" s="3"/>
      <c r="E348" s="3" t="s">
        <v>141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141</v>
      </c>
      <c r="D349" s="3"/>
      <c r="E349" s="3" t="s">
        <v>141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141</v>
      </c>
      <c r="D350" s="3"/>
      <c r="E350" s="3" t="s">
        <v>141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141</v>
      </c>
      <c r="D351" s="3"/>
      <c r="E351" s="3" t="s">
        <v>141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1.2430000000000001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141</v>
      </c>
      <c r="D352" s="3"/>
      <c r="E352" s="3" t="s">
        <v>141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210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142</v>
      </c>
      <c r="D353" s="3"/>
      <c r="E353" s="3" t="s">
        <v>142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211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142</v>
      </c>
      <c r="D354" s="3"/>
      <c r="E354" s="3" t="s">
        <v>142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142</v>
      </c>
      <c r="D355" s="3"/>
      <c r="E355" s="3" t="s">
        <v>142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142</v>
      </c>
      <c r="D356" s="3"/>
      <c r="E356" s="3" t="s">
        <v>142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0.67200000000000004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142</v>
      </c>
      <c r="D357" s="3"/>
      <c r="E357" s="3" t="s">
        <v>142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14.326000000000001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142</v>
      </c>
      <c r="D358" s="3"/>
      <c r="E358" s="3" t="s">
        <v>142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88.102000000000004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142</v>
      </c>
      <c r="D359" s="3"/>
      <c r="E359" s="3" t="s">
        <v>142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113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142</v>
      </c>
      <c r="D360" s="3"/>
      <c r="E360" s="3" t="s">
        <v>142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142</v>
      </c>
      <c r="D361" s="3"/>
      <c r="E361" s="3" t="s">
        <v>142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142</v>
      </c>
      <c r="D362" s="3"/>
      <c r="E362" s="3" t="s">
        <v>142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142</v>
      </c>
      <c r="D363" s="3"/>
      <c r="E363" s="3" t="s">
        <v>142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1.2430000000000001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142</v>
      </c>
      <c r="D364" s="3"/>
      <c r="E364" s="3" t="s">
        <v>142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212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143</v>
      </c>
      <c r="D365" s="3"/>
      <c r="E365" s="3" t="s">
        <v>143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213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143</v>
      </c>
      <c r="D366" s="3"/>
      <c r="E366" s="3" t="s">
        <v>143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143</v>
      </c>
      <c r="D367" s="3"/>
      <c r="E367" s="3" t="s">
        <v>143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143</v>
      </c>
      <c r="D368" s="3"/>
      <c r="E368" s="3" t="s">
        <v>143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0.74399999999999999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143</v>
      </c>
      <c r="D369" s="3"/>
      <c r="E369" s="3" t="s">
        <v>143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14.935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143</v>
      </c>
      <c r="D370" s="3"/>
      <c r="E370" s="3" t="s">
        <v>143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91.850999999999999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143</v>
      </c>
      <c r="D371" s="3"/>
      <c r="E371" s="3" t="s">
        <v>143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113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143</v>
      </c>
      <c r="D372" s="3"/>
      <c r="E372" s="3" t="s">
        <v>143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143</v>
      </c>
      <c r="D373" s="3"/>
      <c r="E373" s="3" t="s">
        <v>143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143</v>
      </c>
      <c r="D374" s="3"/>
      <c r="E374" s="3" t="s">
        <v>143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143</v>
      </c>
      <c r="D375" s="3"/>
      <c r="E375" s="3" t="s">
        <v>143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1.2430000000000001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143</v>
      </c>
      <c r="D376" s="3"/>
      <c r="E376" s="3" t="s">
        <v>143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214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144</v>
      </c>
      <c r="D377" s="3"/>
      <c r="E377" s="3" t="s">
        <v>144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215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144</v>
      </c>
      <c r="D378" s="3"/>
      <c r="E378" s="3" t="s">
        <v>144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144</v>
      </c>
      <c r="D379" s="3"/>
      <c r="E379" s="3" t="s">
        <v>144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144</v>
      </c>
      <c r="D380" s="3"/>
      <c r="E380" s="3" t="s">
        <v>144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0.81599999999999995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144</v>
      </c>
      <c r="D381" s="3"/>
      <c r="E381" s="3" t="s">
        <v>144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15.545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144</v>
      </c>
      <c r="D382" s="3"/>
      <c r="E382" s="3" t="s">
        <v>144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95.600999999999999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144</v>
      </c>
      <c r="D383" s="3"/>
      <c r="E383" s="3" t="s">
        <v>144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113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144</v>
      </c>
      <c r="D384" s="3"/>
      <c r="E384" s="3" t="s">
        <v>144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144</v>
      </c>
      <c r="D385" s="3"/>
      <c r="E385" s="3" t="s">
        <v>144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144</v>
      </c>
      <c r="D386" s="3"/>
      <c r="E386" s="3" t="s">
        <v>144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144</v>
      </c>
      <c r="D387" s="3"/>
      <c r="E387" s="3" t="s">
        <v>144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1.2430000000000001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144</v>
      </c>
      <c r="D388" s="3"/>
      <c r="E388" s="3" t="s">
        <v>144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216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145</v>
      </c>
      <c r="D389" s="3"/>
      <c r="E389" s="3" t="s">
        <v>145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217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145</v>
      </c>
      <c r="D390" s="3"/>
      <c r="E390" s="3" t="s">
        <v>145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145</v>
      </c>
      <c r="D391" s="3"/>
      <c r="E391" s="3" t="s">
        <v>145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145</v>
      </c>
      <c r="D392" s="3"/>
      <c r="E392" s="3" t="s">
        <v>145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0.40300000000000002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145</v>
      </c>
      <c r="D393" s="3"/>
      <c r="E393" s="3" t="s">
        <v>145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12.294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145</v>
      </c>
      <c r="D394" s="3"/>
      <c r="E394" s="3" t="s">
        <v>145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75.605999999999995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145</v>
      </c>
      <c r="D395" s="3"/>
      <c r="E395" s="3" t="s">
        <v>145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113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145</v>
      </c>
      <c r="D396" s="3"/>
      <c r="E396" s="3" t="s">
        <v>145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145</v>
      </c>
      <c r="D397" s="3"/>
      <c r="E397" s="3" t="s">
        <v>145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145</v>
      </c>
      <c r="D398" s="3"/>
      <c r="E398" s="3" t="s">
        <v>145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145</v>
      </c>
      <c r="D399" s="3"/>
      <c r="E399" s="3" t="s">
        <v>145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1.2969999999999999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145</v>
      </c>
      <c r="D400" s="3"/>
      <c r="E400" s="3" t="s">
        <v>145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218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146</v>
      </c>
      <c r="D401" s="3"/>
      <c r="E401" s="3" t="s">
        <v>146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219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146</v>
      </c>
      <c r="D402" s="3"/>
      <c r="E402" s="3" t="s">
        <v>146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146</v>
      </c>
      <c r="D403" s="3"/>
      <c r="E403" s="3" t="s">
        <v>146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146</v>
      </c>
      <c r="D404" s="3"/>
      <c r="E404" s="3" t="s">
        <v>146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0.47899999999999998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146</v>
      </c>
      <c r="D405" s="3"/>
      <c r="E405" s="3" t="s">
        <v>146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12.903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146</v>
      </c>
      <c r="D406" s="3"/>
      <c r="E406" s="3" t="s">
        <v>146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79.355000000000004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146</v>
      </c>
      <c r="D407" s="3"/>
      <c r="E407" s="3" t="s">
        <v>146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113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146</v>
      </c>
      <c r="D408" s="3"/>
      <c r="E408" s="3" t="s">
        <v>146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146</v>
      </c>
      <c r="D409" s="3"/>
      <c r="E409" s="3" t="s">
        <v>146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146</v>
      </c>
      <c r="D410" s="3"/>
      <c r="E410" s="3" t="s">
        <v>146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146</v>
      </c>
      <c r="D411" s="3"/>
      <c r="E411" s="3" t="s">
        <v>146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1.2969999999999999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146</v>
      </c>
      <c r="D412" s="3"/>
      <c r="E412" s="3" t="s">
        <v>146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220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147</v>
      </c>
      <c r="D413" s="3"/>
      <c r="E413" s="3" t="s">
        <v>147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221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147</v>
      </c>
      <c r="D414" s="3"/>
      <c r="E414" s="3" t="s">
        <v>147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147</v>
      </c>
      <c r="D415" s="3"/>
      <c r="E415" s="3" t="s">
        <v>147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147</v>
      </c>
      <c r="D416" s="3"/>
      <c r="E416" s="3" t="s">
        <v>147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0.55500000000000005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147</v>
      </c>
      <c r="D417" s="3"/>
      <c r="E417" s="3" t="s">
        <v>147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13.513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147</v>
      </c>
      <c r="D418" s="3"/>
      <c r="E418" s="3" t="s">
        <v>147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83.103999999999999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147</v>
      </c>
      <c r="D419" s="3"/>
      <c r="E419" s="3" t="s">
        <v>147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147</v>
      </c>
      <c r="D420" s="3"/>
      <c r="E420" s="3" t="s">
        <v>147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147</v>
      </c>
      <c r="D421" s="3"/>
      <c r="E421" s="3" t="s">
        <v>147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147</v>
      </c>
      <c r="D422" s="3"/>
      <c r="E422" s="3" t="s">
        <v>147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147</v>
      </c>
      <c r="D423" s="3"/>
      <c r="E423" s="3" t="s">
        <v>147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1.2969999999999999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147</v>
      </c>
      <c r="D424" s="3"/>
      <c r="E424" s="3" t="s">
        <v>147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222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148</v>
      </c>
      <c r="D425" s="3"/>
      <c r="E425" s="3" t="s">
        <v>148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223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148</v>
      </c>
      <c r="D426" s="3"/>
      <c r="E426" s="3" t="s">
        <v>148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148</v>
      </c>
      <c r="D427" s="3"/>
      <c r="E427" s="3" t="s">
        <v>148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148</v>
      </c>
      <c r="D428" s="3"/>
      <c r="E428" s="3" t="s">
        <v>148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0.63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148</v>
      </c>
      <c r="D429" s="3"/>
      <c r="E429" s="3" t="s">
        <v>148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14.122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148</v>
      </c>
      <c r="D430" s="3"/>
      <c r="E430" s="3" t="s">
        <v>148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86.852999999999994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148</v>
      </c>
      <c r="D431" s="3"/>
      <c r="E431" s="3" t="s">
        <v>148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113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148</v>
      </c>
      <c r="D432" s="3"/>
      <c r="E432" s="3" t="s">
        <v>148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148</v>
      </c>
      <c r="D433" s="3"/>
      <c r="E433" s="3" t="s">
        <v>148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148</v>
      </c>
      <c r="D434" s="3"/>
      <c r="E434" s="3" t="s">
        <v>148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148</v>
      </c>
      <c r="D435" s="3"/>
      <c r="E435" s="3" t="s">
        <v>148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1.2969999999999999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148</v>
      </c>
      <c r="D436" s="3"/>
      <c r="E436" s="3" t="s">
        <v>148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224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149</v>
      </c>
      <c r="D437" s="3"/>
      <c r="E437" s="3" t="s">
        <v>149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225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149</v>
      </c>
      <c r="D438" s="3"/>
      <c r="E438" s="3" t="s">
        <v>149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149</v>
      </c>
      <c r="D439" s="3"/>
      <c r="E439" s="3" t="s">
        <v>149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149</v>
      </c>
      <c r="D440" s="3"/>
      <c r="E440" s="3" t="s">
        <v>149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0.66800000000000004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149</v>
      </c>
      <c r="D441" s="3"/>
      <c r="E441" s="3" t="s">
        <v>149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14.427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149</v>
      </c>
      <c r="D442" s="3"/>
      <c r="E442" s="3" t="s">
        <v>149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88.727000000000004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149</v>
      </c>
      <c r="D443" s="3"/>
      <c r="E443" s="3" t="s">
        <v>149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113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149</v>
      </c>
      <c r="D444" s="3"/>
      <c r="E444" s="3" t="s">
        <v>149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149</v>
      </c>
      <c r="D445" s="3"/>
      <c r="E445" s="3" t="s">
        <v>149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149</v>
      </c>
      <c r="D446" s="3"/>
      <c r="E446" s="3" t="s">
        <v>149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149</v>
      </c>
      <c r="D447" s="3"/>
      <c r="E447" s="3" t="s">
        <v>149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1.2969999999999999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149</v>
      </c>
      <c r="D448" s="3"/>
      <c r="E448" s="3" t="s">
        <v>149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226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150</v>
      </c>
      <c r="D449" s="3"/>
      <c r="E449" s="3" t="s">
        <v>150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227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150</v>
      </c>
      <c r="D450" s="3"/>
      <c r="E450" s="3" t="s">
        <v>150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150</v>
      </c>
      <c r="D451" s="3"/>
      <c r="E451" s="3" t="s">
        <v>150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150</v>
      </c>
      <c r="D452" s="3"/>
      <c r="E452" s="3" t="s">
        <v>150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0.70599999999999996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150</v>
      </c>
      <c r="D453" s="3"/>
      <c r="E453" s="3" t="s">
        <v>150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14.731999999999999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150</v>
      </c>
      <c r="D454" s="3"/>
      <c r="E454" s="3" t="s">
        <v>150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90.602000000000004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150</v>
      </c>
      <c r="D455" s="3"/>
      <c r="E455" s="3" t="s">
        <v>150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113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150</v>
      </c>
      <c r="D456" s="3"/>
      <c r="E456" s="3" t="s">
        <v>150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150</v>
      </c>
      <c r="D457" s="3"/>
      <c r="E457" s="3" t="s">
        <v>150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150</v>
      </c>
      <c r="D458" s="3"/>
      <c r="E458" s="3" t="s">
        <v>150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150</v>
      </c>
      <c r="D459" s="3"/>
      <c r="E459" s="3" t="s">
        <v>150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1.2969999999999999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150</v>
      </c>
      <c r="D460" s="3"/>
      <c r="E460" s="3" t="s">
        <v>150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228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151</v>
      </c>
      <c r="D461" s="3"/>
      <c r="E461" s="3" t="s">
        <v>151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229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151</v>
      </c>
      <c r="D462" s="3"/>
      <c r="E462" s="3" t="s">
        <v>151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151</v>
      </c>
      <c r="D463" s="3"/>
      <c r="E463" s="3" t="s">
        <v>151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151</v>
      </c>
      <c r="D464" s="3"/>
      <c r="E464" s="3" t="s">
        <v>151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0.78200000000000003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151</v>
      </c>
      <c r="D465" s="3"/>
      <c r="E465" s="3" t="s">
        <v>151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15.342000000000001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151</v>
      </c>
      <c r="D466" s="3"/>
      <c r="E466" s="3" t="s">
        <v>151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94.350999999999999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151</v>
      </c>
      <c r="D467" s="3"/>
      <c r="E467" s="3" t="s">
        <v>151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113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151</v>
      </c>
      <c r="D468" s="3"/>
      <c r="E468" s="3" t="s">
        <v>151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151</v>
      </c>
      <c r="D469" s="3"/>
      <c r="E469" s="3" t="s">
        <v>151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151</v>
      </c>
      <c r="D470" s="3"/>
      <c r="E470" s="3" t="s">
        <v>151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151</v>
      </c>
      <c r="D471" s="3"/>
      <c r="E471" s="3" t="s">
        <v>151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1.2969999999999999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151</v>
      </c>
      <c r="D472" s="3"/>
      <c r="E472" s="3" t="s">
        <v>151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230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152</v>
      </c>
      <c r="D473" s="3"/>
      <c r="E473" s="3" t="s">
        <v>152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231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152</v>
      </c>
      <c r="D474" s="3"/>
      <c r="E474" s="3" t="s">
        <v>152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152</v>
      </c>
      <c r="D475" s="3"/>
      <c r="E475" s="3" t="s">
        <v>152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152</v>
      </c>
      <c r="D476" s="3"/>
      <c r="E476" s="3" t="s">
        <v>152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0.85699999999999998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152</v>
      </c>
      <c r="D477" s="3"/>
      <c r="E477" s="3" t="s">
        <v>152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15.951000000000001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152</v>
      </c>
      <c r="D478" s="3"/>
      <c r="E478" s="3" t="s">
        <v>152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98.1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152</v>
      </c>
      <c r="D479" s="3"/>
      <c r="E479" s="3" t="s">
        <v>152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113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152</v>
      </c>
      <c r="D480" s="3"/>
      <c r="E480" s="3" t="s">
        <v>152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152</v>
      </c>
      <c r="D481" s="3"/>
      <c r="E481" s="3" t="s">
        <v>152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152</v>
      </c>
      <c r="D482" s="3"/>
      <c r="E482" s="3" t="s">
        <v>152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152</v>
      </c>
      <c r="D483" s="3"/>
      <c r="E483" s="3" t="s">
        <v>152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1.2969999999999999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152</v>
      </c>
      <c r="D484" s="3"/>
      <c r="E484" s="3" t="s">
        <v>152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232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2026-06-02T08:48:49Z</dcterms:modified>
</cp:coreProperties>
</file>