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Fr- Pocketed Memoryfoam\FR-PK - REG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DEST!$A$2:$AM$606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3" i="13" l="1"/>
  <c r="G5" i="13" l="1"/>
  <c r="H13" i="13" l="1"/>
  <c r="D13" i="13"/>
  <c r="G12" i="13"/>
  <c r="H12" i="13" s="1"/>
  <c r="D12" i="13"/>
  <c r="H11" i="13"/>
  <c r="D11" i="13"/>
  <c r="H10" i="13"/>
  <c r="D10" i="13"/>
  <c r="H9" i="13"/>
  <c r="D9" i="13"/>
  <c r="H8" i="13"/>
  <c r="E8" i="13"/>
  <c r="D8" i="13"/>
  <c r="G7" i="13"/>
  <c r="H7" i="13" s="1"/>
  <c r="D7" i="13"/>
  <c r="G6" i="13"/>
  <c r="H6" i="13" s="1"/>
  <c r="D6" i="13"/>
  <c r="H5" i="13"/>
  <c r="D5" i="13"/>
  <c r="G4" i="13"/>
  <c r="H4" i="13" s="1"/>
  <c r="D4" i="13"/>
  <c r="G3" i="13"/>
  <c r="H3" i="13" s="1"/>
  <c r="D3" i="13"/>
  <c r="H2" i="13"/>
  <c r="D2" i="13"/>
</calcChain>
</file>

<file path=xl/sharedStrings.xml><?xml version="1.0" encoding="utf-8"?>
<sst xmlns="http://schemas.openxmlformats.org/spreadsheetml/2006/main" count="10216" uniqueCount="338">
  <si>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</si>
  <si>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</si>
  <si>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</si>
  <si>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</si>
  <si>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</si>
  <si>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</si>
  <si>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</si>
  <si>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</si>
  <si>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</si>
  <si>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</si>
  <si>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</si>
  <si>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</si>
  <si>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</si>
  <si>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</si>
  <si>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</si>
  <si>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</si>
  <si>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</si>
  <si>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</si>
  <si>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</si>
  <si>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</si>
  <si>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</si>
  <si>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</si>
  <si>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</si>
  <si>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</si>
  <si>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</si>
  <si>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</si>
  <si>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</si>
  <si>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</si>
  <si>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</si>
  <si>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</si>
  <si>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</si>
  <si>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</si>
  <si>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</si>
  <si>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</si>
  <si>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</si>
  <si>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</si>
  <si>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</si>
  <si>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</si>
  <si>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</si>
  <si>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</si>
  <si>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</si>
  <si>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</si>
  <si>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</si>
  <si>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</si>
  <si>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</si>
  <si>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</si>
  <si>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</si>
  <si>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</si>
  <si>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</si>
  <si>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</si>
  <si>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</si>
  <si>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</si>
  <si>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</si>
  <si>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</si>
  <si>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</si>
  <si>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</si>
  <si>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</si>
  <si>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</si>
  <si>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</si>
  <si>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</si>
  <si>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</si>
  <si>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</si>
  <si>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</si>
  <si>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</si>
  <si>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</si>
  <si>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</si>
  <si>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</si>
  <si>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</si>
  <si>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</si>
  <si>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</si>
  <si>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</si>
  <si>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</si>
  <si>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</si>
  <si>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</si>
  <si>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</si>
  <si>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</si>
  <si>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</si>
  <si>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</si>
  <si>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</si>
  <si>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</si>
  <si>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</si>
  <si>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</si>
  <si>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</si>
  <si>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</si>
  <si>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</si>
  <si>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</si>
  <si>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</si>
  <si>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</si>
  <si>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</si>
  <si>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</si>
  <si>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</si>
  <si>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</si>
  <si>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</si>
  <si>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</si>
  <si>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</si>
  <si>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</si>
  <si>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</si>
  <si>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</si>
  <si>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</si>
  <si>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</si>
  <si>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</si>
  <si>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</si>
  <si>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</si>
  <si>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</si>
  <si>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</si>
  <si>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</si>
  <si>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</si>
  <si>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</si>
  <si>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</si>
  <si>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SFG-RTHTMTRG-BONPOC-MEM-QUILT</t>
  </si>
  <si>
    <t>SFG-RTHTMTRG-BONPOC-MEM-BP</t>
  </si>
  <si>
    <t>RMI-PVC-90</t>
  </si>
  <si>
    <t>RTHTMTPKMFRG72X33X08</t>
  </si>
  <si>
    <t>RML-CS-PL-8.5</t>
  </si>
  <si>
    <t>RTHTMTPKMFRG72X39X08</t>
  </si>
  <si>
    <t>RTHTMTPKMFRG72X45X08</t>
  </si>
  <si>
    <t>RTHTMTPKMFRG72X51X08</t>
  </si>
  <si>
    <t>RTHTMTPKMFRG72X54X08</t>
  </si>
  <si>
    <t>RTHTMTPKMFRG72X57X08</t>
  </si>
  <si>
    <t>RTHTMTPKMFRG72X63X08</t>
  </si>
  <si>
    <t>RTHTMTPKMFRG72X69X08</t>
  </si>
  <si>
    <t>RTHTMTPKMFRG75X33X08</t>
  </si>
  <si>
    <t>RTHTMTPKMFRG75X39X08</t>
  </si>
  <si>
    <t>RTHTMTPKMFRG75X45X08</t>
  </si>
  <si>
    <t>RTHTMTPKMFRG75X51X08</t>
  </si>
  <si>
    <t>RTHTMTPKMFRG75X54X08</t>
  </si>
  <si>
    <t>RTHTMTPKMFRG75X57X08</t>
  </si>
  <si>
    <t>RTHTMTPKMFRG75X63X08</t>
  </si>
  <si>
    <t>RTHTMTPKMFRG75X69X08</t>
  </si>
  <si>
    <t>RTHTMTPKMFRG78X33X08</t>
  </si>
  <si>
    <t>RTHTMTPKMFRG78X39X08</t>
  </si>
  <si>
    <t>RTHTMTPKMFRG78X45X08</t>
  </si>
  <si>
    <t>RTHTMTPKMFRG78X51X08</t>
  </si>
  <si>
    <t>RTHTMTPKMFRG78X54X08</t>
  </si>
  <si>
    <t>RTHTMTPKMFRG78X57X08</t>
  </si>
  <si>
    <t>RTHTMTPKMFRG78X63X08</t>
  </si>
  <si>
    <t>RTHTMTPKMFRG78X69X08</t>
  </si>
  <si>
    <t>RTHTMTPKMFRG80X33X08</t>
  </si>
  <si>
    <t>RTHTMTPKMFRG80X39X08</t>
  </si>
  <si>
    <t>RTHTMTPKMFRG80X45X08</t>
  </si>
  <si>
    <t>RTHTMTPKMFRG80X51X08</t>
  </si>
  <si>
    <t>RTHTMTPKMFRG80X54X08</t>
  </si>
  <si>
    <t>RTHTMTPKMFRG80X57X08</t>
  </si>
  <si>
    <t>RTHTMTPKMFRG80X63X08</t>
  </si>
  <si>
    <t>RTHTMTPKMFRG80X69X08</t>
  </si>
  <si>
    <t>RTHTMTPKMFRG84X33X08</t>
  </si>
  <si>
    <t>RTHTMTPKMFRG84X39X08</t>
  </si>
  <si>
    <t>RTHTMTPKMFRG84X45X08</t>
  </si>
  <si>
    <t>RTHTMTPKMFRG84X51X08</t>
  </si>
  <si>
    <t>RTHTMTPKMFRG84X54X08</t>
  </si>
  <si>
    <t>RTHTMTPKMFRG84X57X08</t>
  </si>
  <si>
    <t>RTHTMTPKMFRG84X63X08</t>
  </si>
  <si>
    <t>RTHTMTPKMFRG84X69X08</t>
  </si>
  <si>
    <t>60D-RB-MAT-FOAM-71.50X32.50X15MM</t>
  </si>
  <si>
    <t>60D-RB-MAT-FOAM-71.50X38.50X15MM</t>
  </si>
  <si>
    <t>60D-RB-MAT-FOAM-71.50X44.50X15MM</t>
  </si>
  <si>
    <t>60D-RB-MAT-FOAM-71.50X50.50X15MM</t>
  </si>
  <si>
    <t>60D-RB-MAT-FOAM-71.50X53.50X15MM</t>
  </si>
  <si>
    <t>60D-RB-MAT-FOAM-71.50X56.50X15MM</t>
  </si>
  <si>
    <t>60D-RB-MAT-FOAM-71.50X62.50X15MM</t>
  </si>
  <si>
    <t>60D-RB-MAT-FOAM-71.50X68.50X15MM</t>
  </si>
  <si>
    <t>60D-RB-MAT-FOAM-74.50X32.50X15MM</t>
  </si>
  <si>
    <t>60D-RB-MAT-FOAM-74.50X38.50X15MM</t>
  </si>
  <si>
    <t>60D-RB-MAT-FOAM-74.50X44.50X15MM</t>
  </si>
  <si>
    <t>60D-RB-MAT-FOAM-74.50X50.50X15MM</t>
  </si>
  <si>
    <t>60D-RB-MAT-FOAM-74.50X53.50X15MM</t>
  </si>
  <si>
    <t>60D-RB-MAT-FOAM-74.50X56.50X15MM</t>
  </si>
  <si>
    <t>60D-RB-MAT-FOAM-74.50X62.50X15MM</t>
  </si>
  <si>
    <t>60D-RB-MAT-FOAM-74.50X68.50X15MM</t>
  </si>
  <si>
    <t>60D-RB-MAT-FOAM-77.50X32.50X15MM</t>
  </si>
  <si>
    <t>60D-RB-MAT-FOAM-77.50X38.50X15MM</t>
  </si>
  <si>
    <t>60D-RB-MAT-FOAM-77.50X44.50X15MM</t>
  </si>
  <si>
    <t>60D-RB-MAT-FOAM-77.50X50.50X15MM</t>
  </si>
  <si>
    <t>60D-RB-MAT-FOAM-77.50X53.50X15MM</t>
  </si>
  <si>
    <t>60D-RB-MAT-FOAM-77.50X56.50X15MM</t>
  </si>
  <si>
    <t>60D-RB-MAT-FOAM-77.50X62.50X15MM</t>
  </si>
  <si>
    <t>60D-RB-MAT-FOAM-77.50X68.50X15MM</t>
  </si>
  <si>
    <t>60D-RB-MAT-FOAM-79.50X32.50X15MM</t>
  </si>
  <si>
    <t>60D-RB-MAT-FOAM-79.50X38.50X15MM</t>
  </si>
  <si>
    <t>60D-RB-MAT-FOAM-79.50X44.50X15MM</t>
  </si>
  <si>
    <t>60D-RB-MAT-FOAM-79.50X50.50X15MM</t>
  </si>
  <si>
    <t>60D-RB-MAT-FOAM-79.50X53.50X15MM</t>
  </si>
  <si>
    <t>60D-RB-MAT-FOAM-79.50X56.50X15MM</t>
  </si>
  <si>
    <t>60D-RB-MAT-FOAM-79.50X62.50X15MM</t>
  </si>
  <si>
    <t>60D-RB-MAT-FOAM-79.50X68.50X15MM</t>
  </si>
  <si>
    <t>60D-RB-MAT-FOAM-83.50X32.50X15MM</t>
  </si>
  <si>
    <t>60D-RB-MAT-FOAM-83.50X38.50X15MM</t>
  </si>
  <si>
    <t>60D-RB-MAT-FOAM-83.50X44.50X15MM</t>
  </si>
  <si>
    <t>60D-RB-MAT-FOAM-83.50X50.50X15MM</t>
  </si>
  <si>
    <t>60D-RB-MAT-FOAM-83.50X53.50X15MM</t>
  </si>
  <si>
    <t>60D-RB-MAT-FOAM-83.50X56.50X15MM</t>
  </si>
  <si>
    <t>60D-RB-MAT-FOAM-83.50X62.50X15MM</t>
  </si>
  <si>
    <t>60D-RB-MAT-FOAM-83.50X68.50X15MM</t>
  </si>
  <si>
    <t>RTHTMTPKMFRG72X30X08</t>
  </si>
  <si>
    <t>60D-RB-MAT-FOAM-71.50X29.50X15MM</t>
  </si>
  <si>
    <t>RTHTMTPKMFRG72X36X08</t>
  </si>
  <si>
    <t>60D-RB-MAT-FOAM-71.50X35.50X15MM</t>
  </si>
  <si>
    <t>RTHTMTPKMFRG72X42X08</t>
  </si>
  <si>
    <t>60D-RB-MAT-FOAM-71.50X41.50X15MM</t>
  </si>
  <si>
    <t>RTHTMTPKMFRG72X48X08</t>
  </si>
  <si>
    <t>60D-RB-MAT-FOAM-71.50X47.50X15MM</t>
  </si>
  <si>
    <t>RTHTMTPKMFRG72X60X08</t>
  </si>
  <si>
    <t>60D-RB-MAT-FOAM-71.50X59.50X15MM</t>
  </si>
  <si>
    <t>RTHTMTPKMFRG72X66X08</t>
  </si>
  <si>
    <t>60D-RB-MAT-FOAM-71.50X65.50X15MM</t>
  </si>
  <si>
    <t>RTHTMTPKMFRG72X72X08</t>
  </si>
  <si>
    <t>60D-RB-MAT-FOAM-71.50X71.50X15MM</t>
  </si>
  <si>
    <t>RTHTMTPKMFRG75X30X08</t>
  </si>
  <si>
    <t>60D-RB-MAT-FOAM-74.50X29.50X15MM</t>
  </si>
  <si>
    <t>RTHTMTPKMFRG75X36X08</t>
  </si>
  <si>
    <t>60D-RB-MAT-FOAM-74.50X35.50X15MM</t>
  </si>
  <si>
    <t>RTHTMTPKMFRG75X42X08</t>
  </si>
  <si>
    <t>60D-RB-MAT-FOAM-74.50X41.50X15MM</t>
  </si>
  <si>
    <t>RTHTMTPKMFRG75X48X08</t>
  </si>
  <si>
    <t>60D-RB-MAT-FOAM-74.50X47.50X15MM</t>
  </si>
  <si>
    <t>RTHTMTPKMFRG75X60X08</t>
  </si>
  <si>
    <t>60D-RB-MAT-FOAM-74.50X59.50X15MM</t>
  </si>
  <si>
    <t>RTHTMTPKMFRG75X66X08</t>
  </si>
  <si>
    <t>60D-RB-MAT-FOAM-74.50X65.50X15MM</t>
  </si>
  <si>
    <t>RTHTMTPKMFRG75X72X08</t>
  </si>
  <si>
    <t>60D-RB-MAT-FOAM-74.50X71.50X15MM</t>
  </si>
  <si>
    <t>RTHTMTPKMFRG78X30X08</t>
  </si>
  <si>
    <t>60D-RB-MAT-FOAM-77.50X29.50X15MM</t>
  </si>
  <si>
    <t>RTHTMTPKMFRG78X36X08</t>
  </si>
  <si>
    <t>60D-RB-MAT-FOAM-77.50X35.50X15MM</t>
  </si>
  <si>
    <t>RTHTMTPKMFRG78X42X08</t>
  </si>
  <si>
    <t>60D-RB-MAT-FOAM-77.50X41.50X15MM</t>
  </si>
  <si>
    <t>RTHTMTPKMFRG78X48X08</t>
  </si>
  <si>
    <t>60D-RB-MAT-FOAM-77.50X47.50X15MM</t>
  </si>
  <si>
    <t>RTHTMTPKMFRG78X60X08</t>
  </si>
  <si>
    <t>60D-RB-MAT-FOAM-77.50X59.50X15MM</t>
  </si>
  <si>
    <t>RTHTMTPKMFRG78X66X08</t>
  </si>
  <si>
    <t>60D-RB-MAT-FOAM-77.50X65.50X15MM</t>
  </si>
  <si>
    <t>RTHTMTPKMFRG78X72X08</t>
  </si>
  <si>
    <t>60D-RB-MAT-FOAM-77.50X71.50X15MM</t>
  </si>
  <si>
    <t>RTHTMTPKMFRG80X30X08</t>
  </si>
  <si>
    <t>60D-RB-MAT-FOAM-79.50X29.50X15MM</t>
  </si>
  <si>
    <t>RTHTMTPKMFRG80X36X08</t>
  </si>
  <si>
    <t>60D-RB-MAT-FOAM-79.50X35.50X15MM</t>
  </si>
  <si>
    <t>RTHTMTPKMFRG80X42X08</t>
  </si>
  <si>
    <t>60D-RB-MAT-FOAM-79.50X41.50X15MM</t>
  </si>
  <si>
    <t>RTHTMTPKMFRG80X48X08</t>
  </si>
  <si>
    <t>60D-RB-MAT-FOAM-79.50X47.50X15MM</t>
  </si>
  <si>
    <t>RTHTMTPKMFRG80X60X08</t>
  </si>
  <si>
    <t>60D-RB-MAT-FOAM-79.50X59.50X15MM</t>
  </si>
  <si>
    <t>RTHTMTPKMFRG80X66X08</t>
  </si>
  <si>
    <t>60D-RB-MAT-FOAM-79.50X65.50X15MM</t>
  </si>
  <si>
    <t>RTHTMTPKMFRG80X72X08</t>
  </si>
  <si>
    <t>60D-RB-MAT-FOAM-79.50X71.50X15MM</t>
  </si>
  <si>
    <t>RTHTMTPKMFRG84X30X08</t>
  </si>
  <si>
    <t>60D-RB-MAT-FOAM-83.50X29.50X15MM</t>
  </si>
  <si>
    <t>RTHTMTPKMFRG84X36X08</t>
  </si>
  <si>
    <t>60D-RB-MAT-FOAM-83.50X35.50X15MM</t>
  </si>
  <si>
    <t>RTHTMTPKMFRG84X42X08</t>
  </si>
  <si>
    <t>60D-RB-MAT-FOAM-83.50X41.50X15MM</t>
  </si>
  <si>
    <t>RTHTMTPKMFRG84X48X08</t>
  </si>
  <si>
    <t>60D-RB-MAT-FOAM-83.50X47.50X15MM</t>
  </si>
  <si>
    <t>RTHTMTPKMFRG84X60X08</t>
  </si>
  <si>
    <t>60D-RB-MAT-FOAM-83.50X59.50X15MM</t>
  </si>
  <si>
    <t>RTHTMTPKMFRG84X66X08</t>
  </si>
  <si>
    <t>60D-RB-MAT-FOAM-83.50X65.50X15MM</t>
  </si>
  <si>
    <t>RTHTMTPKMFRG84X72X08</t>
  </si>
  <si>
    <t>60D-RB-MAT-FOAM-83.50X71.50X15MM</t>
  </si>
  <si>
    <t>OEPKBOXSR71.50X32.50X180</t>
  </si>
  <si>
    <t>OEPKBOXSR71.50X38.50X180</t>
  </si>
  <si>
    <t>OEPKBOXSR71.50X44.50X180</t>
  </si>
  <si>
    <t>OEPKBOXSR71.50X50.50X180</t>
  </si>
  <si>
    <t>OEPKBOXSR71.50X53.50X180</t>
  </si>
  <si>
    <t>OEPKBOXSR71.50X56.50X180</t>
  </si>
  <si>
    <t>OEPKBOXSR71.50X62.50X180</t>
  </si>
  <si>
    <t>OEPKBOXSR71.50X68.50X180</t>
  </si>
  <si>
    <t>OEPKBOXSR74.50X32.50X180</t>
  </si>
  <si>
    <t>OEPKBOXSR74.50X38.50X180</t>
  </si>
  <si>
    <t>OEPKBOXSR74.50X44.50X180</t>
  </si>
  <si>
    <t>OEPKBOXSR74.50X50.50X180</t>
  </si>
  <si>
    <t>OEPKBOXSR74.50X53.50X180</t>
  </si>
  <si>
    <t>OEPKBOXSR74.50X56.50X180</t>
  </si>
  <si>
    <t>OEPKBOXSR74.50X62.50X180</t>
  </si>
  <si>
    <t>OEPKBOXSR74.50X68.50X180</t>
  </si>
  <si>
    <t>OEPKBOXSR77.50X32.50X180</t>
  </si>
  <si>
    <t>OEPKBOXSR77.50X38.50X180</t>
  </si>
  <si>
    <t>OEPKBOXSR77.50X44.50X180</t>
  </si>
  <si>
    <t>OEPKBOXSR77.50X50.50X180</t>
  </si>
  <si>
    <t>OEPKBOXSR77.50X53.50X180</t>
  </si>
  <si>
    <t>OEPKBOXSR77.50X56.50X180</t>
  </si>
  <si>
    <t>OEPKBOXSR77.50X62.50X180</t>
  </si>
  <si>
    <t>OEPKBOXSR77.50X68.50X180</t>
  </si>
  <si>
    <t>OEPKBOXSR79.50X32.50X180</t>
  </si>
  <si>
    <t>OEPKBOXSR79.50X38.50X180</t>
  </si>
  <si>
    <t>OEPKBOXSR79.50X44.50X180</t>
  </si>
  <si>
    <t>OEPKBOXSR79.50X50.50X180</t>
  </si>
  <si>
    <t>OEPKBOXSR79.50X53.50X180</t>
  </si>
  <si>
    <t>OEPKBOXSR79.50X56.50X180</t>
  </si>
  <si>
    <t>OEPKBOXSR79.50X62.50X180</t>
  </si>
  <si>
    <t>OEPKBOXSR79.50X68.50X180</t>
  </si>
  <si>
    <t>OEPKBOXSR83.50X32.50X180</t>
  </si>
  <si>
    <t>OEPKBOXSR83.50X38.50X180</t>
  </si>
  <si>
    <t>OEPKBOXSR83.50X44.50X180</t>
  </si>
  <si>
    <t>OEPKBOXSR83.50X50.50X180</t>
  </si>
  <si>
    <t>OEPKBOXSR83.50X53.50X180</t>
  </si>
  <si>
    <t>OEPKBOXSR83.50X56.50X180</t>
  </si>
  <si>
    <t>OEPKBOXSR83.50X62.50X180</t>
  </si>
  <si>
    <t>OEPKBOXSR83.50X68.50X180</t>
  </si>
  <si>
    <t>OEPKBOXSR71.50X29.50X180</t>
  </si>
  <si>
    <t>OEPKBOXSR71.50X35.50X180</t>
  </si>
  <si>
    <t>OEPKBOXSR71.50X41.50X180</t>
  </si>
  <si>
    <t>OEPKBOXSR71.50X47.50X180</t>
  </si>
  <si>
    <t>OEPKBOXSR71.50X59.50X180</t>
  </si>
  <si>
    <t>OEPKBOXSR71.50X65.50X180</t>
  </si>
  <si>
    <t>OEPKBOXSR71.50X71.50X180</t>
  </si>
  <si>
    <t>OEPKBOXSR74.50X29.50X180</t>
  </si>
  <si>
    <t>OEPKBOXSR74.50X35.50X180</t>
  </si>
  <si>
    <t>OEPKBOXSR74.50X41.50X180</t>
  </si>
  <si>
    <t>OEPKBOXSR74.50X47.50X180</t>
  </si>
  <si>
    <t>OEPKBOXSR74.50X59.50X180</t>
  </si>
  <si>
    <t>OEPKBOXSR74.50X65.50X180</t>
  </si>
  <si>
    <t>OEPKBOXSR74.50X71.50X180</t>
  </si>
  <si>
    <t>OEPKBOXSR77.50X29.50X180</t>
  </si>
  <si>
    <t>OEPKBOXSR77.50X35.50X180</t>
  </si>
  <si>
    <t>OEPKBOXSR77.50X41.50X180</t>
  </si>
  <si>
    <t>OEPKBOXSR77.50X47.50X180</t>
  </si>
  <si>
    <t>OEPKBOXSR77.50X59.50X180</t>
  </si>
  <si>
    <t>OEPKBOXSR77.50X65.50X180</t>
  </si>
  <si>
    <t>OEPKBOXSR77.50X71.50X180</t>
  </si>
  <si>
    <t>OEPKBOXSR79.50X29.50X180</t>
  </si>
  <si>
    <t>OEPKBOXSR79.50X35.50X180</t>
  </si>
  <si>
    <t>OEPKBOXSR79.50X41.50X180</t>
  </si>
  <si>
    <t>OEPKBOXSR79.50X47.50X180</t>
  </si>
  <si>
    <t>OEPKBOXSR79.50X59.50X180</t>
  </si>
  <si>
    <t>OEPKBOXSR79.50X65.50X180</t>
  </si>
  <si>
    <t>OEPKBOXSR79.50X71.50X180</t>
  </si>
  <si>
    <t>OEPKBOXSR83.50X29.50X180</t>
  </si>
  <si>
    <t>OEPKBOXSR83.50X35.50X180</t>
  </si>
  <si>
    <t>OEPKBOXSR83.50X41.50X180</t>
  </si>
  <si>
    <t>OEPKBOXSR83.50X47.50X180</t>
  </si>
  <si>
    <t>OEPKBOXSR83.50X59.50X180</t>
  </si>
  <si>
    <t>OEPKBOXSR83.50X65.50X180</t>
  </si>
  <si>
    <t>OEPKBOXSR83.50X71.50X180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</si>
</sst>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1" fillId="0" borderId="1" xfId="0" applyFont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1121</xdr:colOff>
      <xdr:row>9</xdr:row>
      <xdr:rowOff>130549</xdr:rowOff>
    </xdr:from>
    <xdr:to>
      <xdr:col>15</xdr:col>
      <xdr:colOff>313765</xdr:colOff>
      <xdr:row>13</xdr:row>
      <xdr:rowOff>63874</xdr:rowOff>
    </xdr:to>
    <xdr:sp macro="[0]!Macro1" textlink="">
      <xdr:nvSpPr>
        <xdr:cNvPr id="13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705415" y="1845049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9" sqref="E9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28515625" style="16" bestFit="1" customWidth="1"/>
    <col min="5" max="5" width="35.710937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86</v>
      </c>
      <c r="S1" s="38" t="s">
        <v>87</v>
      </c>
      <c r="T1" s="38" t="s">
        <v>88</v>
      </c>
      <c r="U1" s="38" t="s">
        <v>10</v>
      </c>
    </row>
    <row r="2" spans="1:21" x14ac:dyDescent="0.25">
      <c r="A2" s="36">
        <v>1</v>
      </c>
      <c r="B2" s="7" t="s">
        <v>12</v>
      </c>
      <c r="C2" s="7" t="s">
        <v>12</v>
      </c>
      <c r="D2" s="7" t="str">
        <f>"RTHTMTPKMFRG"&amp;$K$2&amp;"X"&amp;$L$2&amp;"X"&amp;IF($M$2&gt;9,$M$2,"0"&amp;$M$2)</f>
        <v>RTHTMTPKMFRG75X36X08</v>
      </c>
      <c r="E2" s="1" t="str">
        <f>"OEPKBOXSR"&amp;(K2-0.5)&amp;"0"&amp;"X"&amp;(L2-0.5)&amp;"0"&amp;"X"&amp;IF(M2=6,"110",IF(M2=8,"180",IF(M2&gt;9,"200",0)))</f>
        <v>OEPKBOXSR74.50X35.50X180</v>
      </c>
      <c r="F2" s="11" t="s">
        <v>11</v>
      </c>
      <c r="G2" s="10">
        <v>1</v>
      </c>
      <c r="H2" s="10">
        <f t="shared" ref="H2" si="0">ROUND(G2,3)</f>
        <v>1</v>
      </c>
      <c r="I2" s="20" t="s">
        <v>16</v>
      </c>
      <c r="J2" s="5"/>
      <c r="K2" s="6">
        <v>75</v>
      </c>
      <c r="L2" s="6">
        <v>36</v>
      </c>
      <c r="M2" s="37">
        <v>8</v>
      </c>
      <c r="N2" s="6"/>
      <c r="P2" s="4" t="s">
        <v>91</v>
      </c>
      <c r="R2" s="34" t="s">
        <v>92</v>
      </c>
      <c r="S2" s="34" t="s">
        <v>93</v>
      </c>
      <c r="T2" s="34">
        <v>8</v>
      </c>
      <c r="U2" s="35" t="s">
        <v>108</v>
      </c>
    </row>
    <row r="3" spans="1:21" s="18" customFormat="1" x14ac:dyDescent="0.25">
      <c r="A3" s="36">
        <v>2</v>
      </c>
      <c r="B3" s="7" t="s">
        <v>17</v>
      </c>
      <c r="C3" s="7" t="s">
        <v>17</v>
      </c>
      <c r="D3" s="7" t="str">
        <f t="shared" ref="D3:D13" si="1">"RTHTMTPKMFRG"&amp;$K$2&amp;"X"&amp;$L$2&amp;"X"&amp;IF($M$2&gt;9,$M$2,"0"&amp;$M$2)</f>
        <v>RTHTMTPKMFRG75X36X08</v>
      </c>
      <c r="E3" s="19" t="s">
        <v>109</v>
      </c>
      <c r="F3" s="11" t="s">
        <v>15</v>
      </c>
      <c r="G3" s="26">
        <f>IF(K2&lt;79,(L2+1),(K2+1))*0.0254</f>
        <v>0.93979999999999997</v>
      </c>
      <c r="H3" s="10">
        <f t="shared" ref="H3" si="2">ROUND(G3,3)</f>
        <v>0.94</v>
      </c>
      <c r="I3" s="20" t="s">
        <v>16</v>
      </c>
      <c r="J3" s="5"/>
      <c r="K3" s="17"/>
      <c r="L3" s="17"/>
      <c r="M3" s="17"/>
      <c r="N3" s="17"/>
      <c r="O3" s="4"/>
      <c r="R3" s="34" t="s">
        <v>92</v>
      </c>
      <c r="S3" s="34" t="s">
        <v>94</v>
      </c>
      <c r="T3" s="34">
        <v>8</v>
      </c>
      <c r="U3" s="35" t="s">
        <v>108</v>
      </c>
    </row>
    <row r="4" spans="1:21" x14ac:dyDescent="0.25">
      <c r="A4" s="36">
        <v>3</v>
      </c>
      <c r="B4" s="7" t="s">
        <v>17</v>
      </c>
      <c r="C4" s="7" t="s">
        <v>17</v>
      </c>
      <c r="D4" s="7" t="str">
        <f t="shared" si="1"/>
        <v>RTHTMTPKMFRG75X36X08</v>
      </c>
      <c r="E4" s="40" t="s">
        <v>110</v>
      </c>
      <c r="F4" s="11" t="s">
        <v>15</v>
      </c>
      <c r="G4" s="10">
        <f>IF(K2&lt;79,(L2+1),(K2+1))*0.0254</f>
        <v>0.93979999999999997</v>
      </c>
      <c r="H4" s="10">
        <f t="shared" ref="H4:H13" si="3">ROUND(G4,3)</f>
        <v>0.94</v>
      </c>
      <c r="I4" s="20" t="s">
        <v>16</v>
      </c>
      <c r="J4" s="12"/>
      <c r="O4" s="18"/>
      <c r="R4" s="34" t="s">
        <v>92</v>
      </c>
      <c r="S4" s="34" t="s">
        <v>95</v>
      </c>
      <c r="T4" s="34">
        <v>8</v>
      </c>
      <c r="U4" s="35" t="s">
        <v>108</v>
      </c>
    </row>
    <row r="5" spans="1:21" x14ac:dyDescent="0.25">
      <c r="A5" s="36">
        <v>4</v>
      </c>
      <c r="B5" s="7" t="s">
        <v>19</v>
      </c>
      <c r="C5" s="7" t="s">
        <v>19</v>
      </c>
      <c r="D5" s="7" t="str">
        <f t="shared" si="1"/>
        <v>RTHTMTPKMFRG75X36X08</v>
      </c>
      <c r="E5" s="21" t="s">
        <v>105</v>
      </c>
      <c r="F5" s="15" t="s">
        <v>106</v>
      </c>
      <c r="G5" s="23">
        <f>((K2-1)*(L2-1)/144)*0.00729*2</f>
        <v>0.26223749999999996</v>
      </c>
      <c r="H5" s="10">
        <f t="shared" si="3"/>
        <v>0.26200000000000001</v>
      </c>
      <c r="I5" s="8" t="s">
        <v>14</v>
      </c>
      <c r="J5" s="12"/>
      <c r="O5" s="18"/>
      <c r="R5" s="34" t="s">
        <v>92</v>
      </c>
      <c r="S5" s="34" t="s">
        <v>96</v>
      </c>
      <c r="T5" s="34">
        <v>8</v>
      </c>
      <c r="U5" s="35" t="s">
        <v>108</v>
      </c>
    </row>
    <row r="6" spans="1:21" x14ac:dyDescent="0.25">
      <c r="A6" s="36">
        <v>5</v>
      </c>
      <c r="B6" s="7" t="s">
        <v>19</v>
      </c>
      <c r="C6" s="7" t="s">
        <v>19</v>
      </c>
      <c r="D6" s="7" t="str">
        <f t="shared" si="1"/>
        <v>RTHTMTPKMFRG75X36X08</v>
      </c>
      <c r="E6" s="21" t="s">
        <v>107</v>
      </c>
      <c r="F6" s="11" t="s">
        <v>15</v>
      </c>
      <c r="G6" s="10">
        <f>(K2+L2+4)*2*0.0254*2</f>
        <v>11.683999999999999</v>
      </c>
      <c r="H6" s="10">
        <f t="shared" si="3"/>
        <v>11.683999999999999</v>
      </c>
      <c r="I6" s="8" t="s">
        <v>14</v>
      </c>
      <c r="J6" s="12"/>
      <c r="R6" s="34" t="s">
        <v>92</v>
      </c>
      <c r="S6" s="34" t="s">
        <v>97</v>
      </c>
      <c r="T6" s="34">
        <v>8</v>
      </c>
      <c r="U6" s="35" t="s">
        <v>108</v>
      </c>
    </row>
    <row r="7" spans="1:21" x14ac:dyDescent="0.25">
      <c r="A7" s="36">
        <v>6</v>
      </c>
      <c r="B7" s="7" t="s">
        <v>19</v>
      </c>
      <c r="C7" s="7" t="s">
        <v>19</v>
      </c>
      <c r="D7" s="7" t="str">
        <f t="shared" si="1"/>
        <v>RTHTMTPKMFRG75X36X08</v>
      </c>
      <c r="E7" s="21" t="s">
        <v>18</v>
      </c>
      <c r="F7" s="11" t="s">
        <v>15</v>
      </c>
      <c r="G7" s="10">
        <f>(K2+L2+4)*2*0.0254*(4.73+1.42)*2</f>
        <v>71.8566</v>
      </c>
      <c r="H7" s="10">
        <f t="shared" si="3"/>
        <v>71.856999999999999</v>
      </c>
      <c r="I7" s="8" t="s">
        <v>14</v>
      </c>
      <c r="J7" s="12"/>
      <c r="K7" s="18"/>
      <c r="L7" s="18"/>
      <c r="M7" s="18"/>
      <c r="N7" s="18"/>
      <c r="O7" s="18"/>
      <c r="P7" s="18"/>
      <c r="Q7" s="18"/>
      <c r="R7" s="34" t="s">
        <v>92</v>
      </c>
      <c r="S7" s="34" t="s">
        <v>98</v>
      </c>
      <c r="T7" s="34">
        <v>8</v>
      </c>
      <c r="U7" s="35" t="s">
        <v>108</v>
      </c>
    </row>
    <row r="8" spans="1:21" x14ac:dyDescent="0.25">
      <c r="A8" s="36">
        <v>7</v>
      </c>
      <c r="B8" s="7" t="s">
        <v>20</v>
      </c>
      <c r="C8" s="9" t="s">
        <v>20</v>
      </c>
      <c r="D8" s="7" t="str">
        <f t="shared" si="1"/>
        <v>RTHTMTPKMFRG75X36X08</v>
      </c>
      <c r="E8" s="21" t="str">
        <f>IF(M2=6,"RML-CS-PL-6.5""",IF(M2=8,"RML-CS-PL-8.5",IF(M2=10,"RML-CS-PL-10.5",IF(M2=12,"RML-CS-PL-12.25"))))</f>
        <v>RML-CS-PL-8.5</v>
      </c>
      <c r="F8" s="11" t="s">
        <v>11</v>
      </c>
      <c r="G8" s="10">
        <v>4</v>
      </c>
      <c r="H8" s="10">
        <f t="shared" si="3"/>
        <v>4</v>
      </c>
      <c r="I8" s="8" t="s">
        <v>14</v>
      </c>
      <c r="J8" s="12"/>
      <c r="K8" s="18"/>
      <c r="L8" s="18"/>
      <c r="M8" s="18"/>
      <c r="N8" s="18"/>
      <c r="O8" s="18"/>
      <c r="P8" s="18"/>
      <c r="Q8" s="18"/>
      <c r="R8" s="34" t="s">
        <v>92</v>
      </c>
      <c r="S8" s="34" t="s">
        <v>99</v>
      </c>
      <c r="T8" s="34">
        <v>8</v>
      </c>
      <c r="U8" s="35" t="s">
        <v>108</v>
      </c>
    </row>
    <row r="9" spans="1:21" x14ac:dyDescent="0.25">
      <c r="A9" s="36">
        <v>8</v>
      </c>
      <c r="B9" s="7" t="s">
        <v>19</v>
      </c>
      <c r="C9" s="7" t="s">
        <v>19</v>
      </c>
      <c r="D9" s="7" t="str">
        <f t="shared" si="1"/>
        <v>RTHTMTPKMFRG75X36X08</v>
      </c>
      <c r="E9" s="21" t="s">
        <v>21</v>
      </c>
      <c r="F9" s="11" t="s">
        <v>11</v>
      </c>
      <c r="G9" s="10">
        <v>1</v>
      </c>
      <c r="H9" s="10">
        <f t="shared" si="3"/>
        <v>1</v>
      </c>
      <c r="I9" s="8" t="s">
        <v>14</v>
      </c>
      <c r="J9" s="12"/>
      <c r="K9" s="18"/>
      <c r="L9" s="18"/>
      <c r="M9" s="18"/>
      <c r="N9" s="18"/>
      <c r="O9" s="18"/>
      <c r="P9" s="24"/>
      <c r="Q9" s="18"/>
      <c r="R9" s="34" t="s">
        <v>92</v>
      </c>
      <c r="S9" s="34" t="s">
        <v>100</v>
      </c>
      <c r="T9" s="34">
        <v>8</v>
      </c>
      <c r="U9" s="35" t="s">
        <v>108</v>
      </c>
    </row>
    <row r="10" spans="1:21" x14ac:dyDescent="0.25">
      <c r="A10" s="36">
        <v>9</v>
      </c>
      <c r="B10" s="7" t="s">
        <v>20</v>
      </c>
      <c r="C10" s="9" t="s">
        <v>20</v>
      </c>
      <c r="D10" s="7" t="str">
        <f t="shared" si="1"/>
        <v>RTHTMTPKMFRG75X36X08</v>
      </c>
      <c r="E10" s="21" t="s">
        <v>22</v>
      </c>
      <c r="F10" s="11" t="s">
        <v>11</v>
      </c>
      <c r="G10" s="14">
        <v>1</v>
      </c>
      <c r="H10" s="10">
        <f t="shared" si="3"/>
        <v>1</v>
      </c>
      <c r="I10" s="8" t="s">
        <v>14</v>
      </c>
      <c r="J10" s="12"/>
      <c r="K10" s="18"/>
      <c r="L10" s="18"/>
      <c r="M10" s="18"/>
      <c r="N10" s="18"/>
      <c r="O10" s="18"/>
      <c r="P10" s="18"/>
      <c r="Q10" s="18"/>
      <c r="R10" s="34" t="s">
        <v>101</v>
      </c>
      <c r="S10" s="34" t="s">
        <v>93</v>
      </c>
      <c r="T10" s="34">
        <v>8</v>
      </c>
      <c r="U10" s="35" t="s">
        <v>108</v>
      </c>
    </row>
    <row r="11" spans="1:21" x14ac:dyDescent="0.25">
      <c r="A11" s="36">
        <v>10</v>
      </c>
      <c r="B11" s="7" t="s">
        <v>20</v>
      </c>
      <c r="C11" s="9" t="s">
        <v>20</v>
      </c>
      <c r="D11" s="7" t="str">
        <f t="shared" si="1"/>
        <v>RTHTMTPKMFRG75X36X08</v>
      </c>
      <c r="E11" s="21" t="s">
        <v>23</v>
      </c>
      <c r="F11" s="11" t="s">
        <v>11</v>
      </c>
      <c r="G11" s="14">
        <v>1</v>
      </c>
      <c r="H11" s="10">
        <f t="shared" si="3"/>
        <v>1</v>
      </c>
      <c r="I11" s="8" t="s">
        <v>14</v>
      </c>
      <c r="J11" s="12"/>
      <c r="K11" s="25"/>
      <c r="L11" s="25"/>
      <c r="M11" s="18"/>
      <c r="N11" s="24"/>
      <c r="O11" s="18"/>
      <c r="P11" s="18"/>
      <c r="Q11" s="18"/>
      <c r="R11" s="34" t="s">
        <v>101</v>
      </c>
      <c r="S11" s="34" t="s">
        <v>94</v>
      </c>
      <c r="T11" s="34">
        <v>8</v>
      </c>
      <c r="U11" s="35" t="s">
        <v>108</v>
      </c>
    </row>
    <row r="12" spans="1:21" x14ac:dyDescent="0.25">
      <c r="A12" s="36">
        <v>11</v>
      </c>
      <c r="B12" s="7" t="s">
        <v>20</v>
      </c>
      <c r="C12" s="9" t="s">
        <v>20</v>
      </c>
      <c r="D12" s="7" t="str">
        <f t="shared" si="1"/>
        <v>RTHTMTPKMFRG75X36X08</v>
      </c>
      <c r="E12" s="9" t="s">
        <v>111</v>
      </c>
      <c r="F12" s="11" t="s">
        <v>13</v>
      </c>
      <c r="G12" s="24">
        <f>IF(K2&lt;79,((L2*2)+(M2*2)+4),((K2*2)+(M2*2)+4))*0.0254*89.5*0.0254*0.00009*1300</f>
        <v>0.62153295048000001</v>
      </c>
      <c r="H12" s="10">
        <f t="shared" si="3"/>
        <v>0.622</v>
      </c>
      <c r="I12" s="8" t="s">
        <v>14</v>
      </c>
      <c r="J12" s="12"/>
      <c r="K12" s="18"/>
      <c r="L12" s="18"/>
      <c r="M12" s="18"/>
      <c r="N12" s="18"/>
      <c r="O12" s="18"/>
      <c r="P12" s="18"/>
      <c r="Q12" s="18"/>
      <c r="R12" s="34" t="s">
        <v>101</v>
      </c>
      <c r="S12" s="34" t="s">
        <v>95</v>
      </c>
      <c r="T12" s="34">
        <v>8</v>
      </c>
      <c r="U12" s="35" t="s">
        <v>108</v>
      </c>
    </row>
    <row r="13" spans="1:21" x14ac:dyDescent="0.25">
      <c r="A13" s="36">
        <v>12</v>
      </c>
      <c r="B13" s="7" t="s">
        <v>19</v>
      </c>
      <c r="C13" s="7" t="s">
        <v>19</v>
      </c>
      <c r="D13" s="7" t="str">
        <f t="shared" si="1"/>
        <v>RTHTMTPKMFRG75X36X08</v>
      </c>
      <c r="E13" s="39" t="str">
        <f>"60D-RB-MAT-FOAM-"&amp;(K2-0.5)&amp;"0"&amp;"X"&amp;(L2-0.5)&amp;"0"&amp;"X15MM"</f>
        <v>60D-RB-MAT-FOAM-74.50X35.50X15MM</v>
      </c>
      <c r="F13" s="8" t="s">
        <v>11</v>
      </c>
      <c r="G13" s="14">
        <v>1</v>
      </c>
      <c r="H13" s="10">
        <f t="shared" si="3"/>
        <v>1</v>
      </c>
      <c r="I13" s="20" t="s">
        <v>16</v>
      </c>
      <c r="J13" s="12"/>
      <c r="K13" s="22"/>
      <c r="R13" s="34" t="s">
        <v>101</v>
      </c>
      <c r="S13" s="34" t="s">
        <v>96</v>
      </c>
      <c r="T13" s="34">
        <v>8</v>
      </c>
      <c r="U13" s="35" t="s">
        <v>108</v>
      </c>
    </row>
    <row r="14" spans="1:21" x14ac:dyDescent="0.25">
      <c r="J14" s="12"/>
      <c r="M14" s="22"/>
      <c r="O14" s="22"/>
      <c r="R14" s="34" t="s">
        <v>101</v>
      </c>
      <c r="S14" s="34" t="s">
        <v>97</v>
      </c>
      <c r="T14" s="34">
        <v>8</v>
      </c>
      <c r="U14" s="35" t="s">
        <v>108</v>
      </c>
    </row>
    <row r="15" spans="1:21" x14ac:dyDescent="0.25">
      <c r="J15" s="12"/>
      <c r="N15"/>
      <c r="O15"/>
      <c r="R15" s="34" t="s">
        <v>101</v>
      </c>
      <c r="S15" s="34" t="s">
        <v>98</v>
      </c>
      <c r="T15" s="34">
        <v>8</v>
      </c>
      <c r="U15" s="35" t="s">
        <v>108</v>
      </c>
    </row>
    <row r="16" spans="1:21" x14ac:dyDescent="0.25">
      <c r="J16" s="12"/>
      <c r="M16" s="22"/>
      <c r="N16"/>
      <c r="O16"/>
      <c r="R16" s="34" t="s">
        <v>101</v>
      </c>
      <c r="S16" s="34" t="s">
        <v>99</v>
      </c>
      <c r="T16" s="34">
        <v>8</v>
      </c>
      <c r="U16" s="35" t="s">
        <v>108</v>
      </c>
    </row>
    <row r="17" spans="5:21" x14ac:dyDescent="0.25">
      <c r="J17" s="12"/>
      <c r="N17"/>
      <c r="O17"/>
      <c r="R17" s="34" t="s">
        <v>101</v>
      </c>
      <c r="S17" s="34" t="s">
        <v>100</v>
      </c>
      <c r="T17" s="34">
        <v>8</v>
      </c>
      <c r="U17" s="35" t="s">
        <v>108</v>
      </c>
    </row>
    <row r="18" spans="5:21" x14ac:dyDescent="0.25">
      <c r="J18" s="12"/>
      <c r="N18"/>
      <c r="O18"/>
      <c r="R18" s="34" t="s">
        <v>102</v>
      </c>
      <c r="S18" s="34" t="s">
        <v>93</v>
      </c>
      <c r="T18" s="34">
        <v>8</v>
      </c>
      <c r="U18" s="35" t="s">
        <v>108</v>
      </c>
    </row>
    <row r="19" spans="5:21" x14ac:dyDescent="0.25">
      <c r="J19" s="12"/>
      <c r="N19"/>
      <c r="O19"/>
      <c r="R19" s="34" t="s">
        <v>102</v>
      </c>
      <c r="S19" s="34" t="s">
        <v>94</v>
      </c>
      <c r="T19" s="34">
        <v>8</v>
      </c>
      <c r="U19" s="35" t="s">
        <v>108</v>
      </c>
    </row>
    <row r="20" spans="5:21" x14ac:dyDescent="0.25">
      <c r="J20" s="12"/>
      <c r="N20" s="33"/>
      <c r="O20"/>
      <c r="R20" s="34" t="s">
        <v>102</v>
      </c>
      <c r="S20" s="34" t="s">
        <v>95</v>
      </c>
      <c r="T20" s="34">
        <v>8</v>
      </c>
      <c r="U20" s="35" t="s">
        <v>108</v>
      </c>
    </row>
    <row r="21" spans="5:21" x14ac:dyDescent="0.25">
      <c r="J21" s="12"/>
      <c r="N21"/>
      <c r="O21"/>
      <c r="R21" s="34" t="s">
        <v>102</v>
      </c>
      <c r="S21" s="34" t="s">
        <v>96</v>
      </c>
      <c r="T21" s="34">
        <v>8</v>
      </c>
      <c r="U21" s="35" t="s">
        <v>108</v>
      </c>
    </row>
    <row r="22" spans="5:21" x14ac:dyDescent="0.25">
      <c r="J22" s="12"/>
      <c r="N22"/>
      <c r="O22"/>
      <c r="R22" s="34" t="s">
        <v>102</v>
      </c>
      <c r="S22" s="34" t="s">
        <v>97</v>
      </c>
      <c r="T22" s="34">
        <v>8</v>
      </c>
      <c r="U22" s="35" t="s">
        <v>108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4" t="s">
        <v>102</v>
      </c>
      <c r="S23" s="34" t="s">
        <v>98</v>
      </c>
      <c r="T23" s="34">
        <v>8</v>
      </c>
      <c r="U23" s="35" t="s">
        <v>108</v>
      </c>
    </row>
    <row r="24" spans="5:21" x14ac:dyDescent="0.25">
      <c r="J24" s="13"/>
      <c r="K24" s="18"/>
      <c r="L24" s="18"/>
      <c r="M24" s="18"/>
      <c r="N24" s="33"/>
      <c r="O24"/>
      <c r="P24" s="18"/>
      <c r="Q24" s="18"/>
      <c r="R24" s="34" t="s">
        <v>102</v>
      </c>
      <c r="S24" s="34" t="s">
        <v>99</v>
      </c>
      <c r="T24" s="34">
        <v>8</v>
      </c>
      <c r="U24" s="35" t="s">
        <v>108</v>
      </c>
    </row>
    <row r="25" spans="5:21" x14ac:dyDescent="0.25">
      <c r="N25"/>
      <c r="O25"/>
      <c r="R25" s="34" t="s">
        <v>102</v>
      </c>
      <c r="S25" s="34" t="s">
        <v>100</v>
      </c>
      <c r="T25" s="34">
        <v>8</v>
      </c>
      <c r="U25" s="35" t="s">
        <v>108</v>
      </c>
    </row>
    <row r="26" spans="5:21" x14ac:dyDescent="0.25">
      <c r="N26"/>
      <c r="O26"/>
      <c r="R26" s="34" t="s">
        <v>103</v>
      </c>
      <c r="S26" s="34" t="s">
        <v>93</v>
      </c>
      <c r="T26" s="34">
        <v>8</v>
      </c>
      <c r="U26" s="35" t="s">
        <v>108</v>
      </c>
    </row>
    <row r="27" spans="5:21" x14ac:dyDescent="0.25">
      <c r="N27"/>
      <c r="O27"/>
      <c r="R27" s="34" t="s">
        <v>103</v>
      </c>
      <c r="S27" s="34" t="s">
        <v>94</v>
      </c>
      <c r="T27" s="34">
        <v>8</v>
      </c>
      <c r="U27" s="35" t="s">
        <v>108</v>
      </c>
    </row>
    <row r="28" spans="5:21" x14ac:dyDescent="0.25">
      <c r="E28" s="22"/>
      <c r="I28" s="22"/>
      <c r="M28" s="22"/>
      <c r="N28"/>
      <c r="O28"/>
      <c r="R28" s="34" t="s">
        <v>103</v>
      </c>
      <c r="S28" s="34" t="s">
        <v>95</v>
      </c>
      <c r="T28" s="34">
        <v>8</v>
      </c>
      <c r="U28" s="35" t="s">
        <v>108</v>
      </c>
    </row>
    <row r="29" spans="5:21" x14ac:dyDescent="0.25">
      <c r="E29" s="22"/>
      <c r="N29"/>
      <c r="O29"/>
      <c r="R29" s="34" t="s">
        <v>103</v>
      </c>
      <c r="S29" s="34" t="s">
        <v>96</v>
      </c>
      <c r="T29" s="34">
        <v>8</v>
      </c>
      <c r="U29" s="35" t="s">
        <v>108</v>
      </c>
    </row>
    <row r="30" spans="5:21" x14ac:dyDescent="0.25">
      <c r="H30" s="22"/>
      <c r="N30"/>
      <c r="O30"/>
      <c r="R30" s="34" t="s">
        <v>103</v>
      </c>
      <c r="S30" s="34" t="s">
        <v>97</v>
      </c>
      <c r="T30" s="34">
        <v>8</v>
      </c>
      <c r="U30" s="35" t="s">
        <v>108</v>
      </c>
    </row>
    <row r="31" spans="5:21" x14ac:dyDescent="0.25">
      <c r="N31"/>
      <c r="O31"/>
      <c r="R31" s="34" t="s">
        <v>103</v>
      </c>
      <c r="S31" s="34" t="s">
        <v>98</v>
      </c>
      <c r="T31" s="34">
        <v>8</v>
      </c>
      <c r="U31" s="35" t="s">
        <v>108</v>
      </c>
    </row>
    <row r="32" spans="5:21" x14ac:dyDescent="0.25">
      <c r="N32"/>
      <c r="O32"/>
      <c r="R32" s="34" t="s">
        <v>103</v>
      </c>
      <c r="S32" s="34" t="s">
        <v>99</v>
      </c>
      <c r="T32" s="34">
        <v>8</v>
      </c>
      <c r="U32" s="35" t="s">
        <v>108</v>
      </c>
    </row>
    <row r="33" spans="14:21" x14ac:dyDescent="0.25">
      <c r="N33"/>
      <c r="O33"/>
      <c r="R33" s="34" t="s">
        <v>103</v>
      </c>
      <c r="S33" s="34" t="s">
        <v>100</v>
      </c>
      <c r="T33" s="34">
        <v>8</v>
      </c>
      <c r="U33" s="35" t="s">
        <v>108</v>
      </c>
    </row>
    <row r="34" spans="14:21" x14ac:dyDescent="0.25">
      <c r="N34"/>
      <c r="O34"/>
      <c r="R34" s="34" t="s">
        <v>104</v>
      </c>
      <c r="S34" s="34" t="s">
        <v>93</v>
      </c>
      <c r="T34" s="34">
        <v>8</v>
      </c>
      <c r="U34" s="35" t="s">
        <v>108</v>
      </c>
    </row>
    <row r="35" spans="14:21" x14ac:dyDescent="0.25">
      <c r="N35"/>
      <c r="O35"/>
      <c r="R35" s="34" t="s">
        <v>104</v>
      </c>
      <c r="S35" s="34" t="s">
        <v>94</v>
      </c>
      <c r="T35" s="34">
        <v>8</v>
      </c>
      <c r="U35" s="35" t="s">
        <v>108</v>
      </c>
    </row>
    <row r="36" spans="14:21" x14ac:dyDescent="0.25">
      <c r="N36"/>
      <c r="O36"/>
      <c r="R36" s="34" t="s">
        <v>104</v>
      </c>
      <c r="S36" s="34" t="s">
        <v>95</v>
      </c>
      <c r="T36" s="34">
        <v>8</v>
      </c>
      <c r="U36" s="35" t="s">
        <v>108</v>
      </c>
    </row>
    <row r="37" spans="14:21" x14ac:dyDescent="0.25">
      <c r="N37"/>
      <c r="O37"/>
      <c r="R37" s="34" t="s">
        <v>104</v>
      </c>
      <c r="S37" s="34" t="s">
        <v>96</v>
      </c>
      <c r="T37" s="34">
        <v>8</v>
      </c>
      <c r="U37" s="35" t="s">
        <v>108</v>
      </c>
    </row>
    <row r="38" spans="14:21" x14ac:dyDescent="0.25">
      <c r="N38"/>
      <c r="O38"/>
      <c r="R38" s="34" t="s">
        <v>104</v>
      </c>
      <c r="S38" s="34" t="s">
        <v>97</v>
      </c>
      <c r="T38" s="34">
        <v>8</v>
      </c>
      <c r="U38" s="35" t="s">
        <v>108</v>
      </c>
    </row>
    <row r="39" spans="14:21" x14ac:dyDescent="0.25">
      <c r="N39"/>
      <c r="O39"/>
      <c r="R39" s="34" t="s">
        <v>104</v>
      </c>
      <c r="S39" s="34" t="s">
        <v>98</v>
      </c>
      <c r="T39" s="34">
        <v>8</v>
      </c>
      <c r="U39" s="35" t="s">
        <v>108</v>
      </c>
    </row>
    <row r="40" spans="14:21" x14ac:dyDescent="0.25">
      <c r="N40"/>
      <c r="O40"/>
      <c r="R40" s="34" t="s">
        <v>104</v>
      </c>
      <c r="S40" s="34" t="s">
        <v>99</v>
      </c>
      <c r="T40" s="34">
        <v>8</v>
      </c>
      <c r="U40" s="35" t="s">
        <v>108</v>
      </c>
    </row>
    <row r="41" spans="14:21" x14ac:dyDescent="0.25">
      <c r="N41"/>
      <c r="O41"/>
      <c r="R41" s="34" t="s">
        <v>104</v>
      </c>
      <c r="S41" s="34" t="s">
        <v>100</v>
      </c>
      <c r="T41" s="34">
        <v>8</v>
      </c>
      <c r="U41" s="35" t="s">
        <v>108</v>
      </c>
    </row>
    <row r="42" spans="14:21" x14ac:dyDescent="0.25">
      <c r="N42"/>
      <c r="O42"/>
      <c r="R42" s="34">
        <v>72</v>
      </c>
      <c r="S42" s="34">
        <v>30</v>
      </c>
      <c r="T42" s="34">
        <v>8</v>
      </c>
      <c r="U42" s="35"/>
    </row>
    <row r="43" spans="14:21" x14ac:dyDescent="0.25">
      <c r="N43"/>
      <c r="O43"/>
      <c r="R43" s="34">
        <v>72</v>
      </c>
      <c r="S43" s="34">
        <v>36</v>
      </c>
      <c r="T43" s="34">
        <v>8</v>
      </c>
      <c r="U43" s="35"/>
    </row>
    <row r="44" spans="14:21" x14ac:dyDescent="0.25">
      <c r="N44"/>
      <c r="O44"/>
      <c r="R44" s="34">
        <v>72</v>
      </c>
      <c r="S44" s="34">
        <v>42</v>
      </c>
      <c r="T44" s="34">
        <v>8</v>
      </c>
      <c r="U44" s="35"/>
    </row>
    <row r="45" spans="14:21" x14ac:dyDescent="0.25">
      <c r="N45"/>
      <c r="O45"/>
      <c r="R45" s="34">
        <v>72</v>
      </c>
      <c r="S45" s="34">
        <v>48</v>
      </c>
      <c r="T45" s="34">
        <v>8</v>
      </c>
      <c r="U45" s="35"/>
    </row>
    <row r="46" spans="14:21" x14ac:dyDescent="0.25">
      <c r="N46"/>
      <c r="O46"/>
      <c r="R46" s="34">
        <v>72</v>
      </c>
      <c r="S46" s="34">
        <v>60</v>
      </c>
      <c r="T46" s="34">
        <v>8</v>
      </c>
      <c r="U46" s="35"/>
    </row>
    <row r="47" spans="14:21" x14ac:dyDescent="0.25">
      <c r="N47"/>
      <c r="O47"/>
      <c r="R47" s="34">
        <v>72</v>
      </c>
      <c r="S47" s="34">
        <v>66</v>
      </c>
      <c r="T47" s="34">
        <v>8</v>
      </c>
      <c r="U47" s="35"/>
    </row>
    <row r="48" spans="14:21" x14ac:dyDescent="0.25">
      <c r="N48"/>
      <c r="O48"/>
      <c r="R48" s="34">
        <v>72</v>
      </c>
      <c r="S48" s="34">
        <v>72</v>
      </c>
      <c r="T48" s="34">
        <v>8</v>
      </c>
      <c r="U48" s="35"/>
    </row>
    <row r="49" spans="14:21" x14ac:dyDescent="0.25">
      <c r="N49"/>
      <c r="O49"/>
      <c r="R49" s="34">
        <v>75</v>
      </c>
      <c r="S49" s="34">
        <v>30</v>
      </c>
      <c r="T49" s="34">
        <v>8</v>
      </c>
      <c r="U49" s="35"/>
    </row>
    <row r="50" spans="14:21" x14ac:dyDescent="0.25">
      <c r="R50" s="34">
        <v>75</v>
      </c>
      <c r="S50" s="34">
        <v>36</v>
      </c>
      <c r="T50" s="34">
        <v>8</v>
      </c>
      <c r="U50" s="35"/>
    </row>
    <row r="51" spans="14:21" x14ac:dyDescent="0.25">
      <c r="R51" s="34">
        <v>75</v>
      </c>
      <c r="S51" s="34">
        <v>42</v>
      </c>
      <c r="T51" s="34">
        <v>8</v>
      </c>
      <c r="U51" s="35"/>
    </row>
    <row r="52" spans="14:21" x14ac:dyDescent="0.25">
      <c r="R52" s="34">
        <v>75</v>
      </c>
      <c r="S52" s="34">
        <v>48</v>
      </c>
      <c r="T52" s="34">
        <v>8</v>
      </c>
      <c r="U52" s="35"/>
    </row>
    <row r="53" spans="14:21" x14ac:dyDescent="0.25">
      <c r="R53" s="34">
        <v>75</v>
      </c>
      <c r="S53" s="34">
        <v>60</v>
      </c>
      <c r="T53" s="34">
        <v>8</v>
      </c>
      <c r="U53" s="35"/>
    </row>
    <row r="54" spans="14:21" x14ac:dyDescent="0.25">
      <c r="R54" s="34">
        <v>75</v>
      </c>
      <c r="S54" s="34">
        <v>66</v>
      </c>
      <c r="T54" s="34">
        <v>8</v>
      </c>
      <c r="U54" s="35"/>
    </row>
    <row r="55" spans="14:21" x14ac:dyDescent="0.25">
      <c r="R55" s="34">
        <v>75</v>
      </c>
      <c r="S55" s="34">
        <v>72</v>
      </c>
      <c r="T55" s="34">
        <v>8</v>
      </c>
      <c r="U55" s="35"/>
    </row>
    <row r="56" spans="14:21" x14ac:dyDescent="0.25">
      <c r="R56" s="34">
        <v>78</v>
      </c>
      <c r="S56" s="34">
        <v>30</v>
      </c>
      <c r="T56" s="34">
        <v>8</v>
      </c>
      <c r="U56" s="35"/>
    </row>
    <row r="57" spans="14:21" x14ac:dyDescent="0.25">
      <c r="R57" s="34">
        <v>78</v>
      </c>
      <c r="S57" s="34">
        <v>36</v>
      </c>
      <c r="T57" s="34">
        <v>8</v>
      </c>
      <c r="U57" s="35"/>
    </row>
    <row r="58" spans="14:21" x14ac:dyDescent="0.25">
      <c r="R58" s="34">
        <v>78</v>
      </c>
      <c r="S58" s="34">
        <v>42</v>
      </c>
      <c r="T58" s="34">
        <v>8</v>
      </c>
      <c r="U58" s="35"/>
    </row>
    <row r="59" spans="14:21" x14ac:dyDescent="0.25">
      <c r="R59" s="34">
        <v>78</v>
      </c>
      <c r="S59" s="34">
        <v>48</v>
      </c>
      <c r="T59" s="34">
        <v>8</v>
      </c>
      <c r="U59" s="35"/>
    </row>
    <row r="60" spans="14:21" x14ac:dyDescent="0.25">
      <c r="R60" s="34">
        <v>78</v>
      </c>
      <c r="S60" s="34">
        <v>60</v>
      </c>
      <c r="T60" s="34">
        <v>8</v>
      </c>
      <c r="U60" s="35"/>
    </row>
    <row r="61" spans="14:21" x14ac:dyDescent="0.25">
      <c r="R61" s="34">
        <v>78</v>
      </c>
      <c r="S61" s="34">
        <v>66</v>
      </c>
      <c r="T61" s="34">
        <v>8</v>
      </c>
      <c r="U61" s="35"/>
    </row>
    <row r="62" spans="14:21" x14ac:dyDescent="0.25">
      <c r="R62" s="34">
        <v>78</v>
      </c>
      <c r="S62" s="34">
        <v>72</v>
      </c>
      <c r="T62" s="34">
        <v>8</v>
      </c>
      <c r="U62" s="35"/>
    </row>
    <row r="63" spans="14:21" x14ac:dyDescent="0.25">
      <c r="R63" s="34">
        <v>80</v>
      </c>
      <c r="S63" s="34">
        <v>30</v>
      </c>
      <c r="T63" s="34">
        <v>8</v>
      </c>
      <c r="U63" s="35"/>
    </row>
    <row r="64" spans="14:21" x14ac:dyDescent="0.25">
      <c r="R64" s="34">
        <v>80</v>
      </c>
      <c r="S64" s="34">
        <v>36</v>
      </c>
      <c r="T64" s="34">
        <v>8</v>
      </c>
      <c r="U64" s="35"/>
    </row>
    <row r="65" spans="18:21" x14ac:dyDescent="0.25">
      <c r="R65" s="34">
        <v>80</v>
      </c>
      <c r="S65" s="34">
        <v>42</v>
      </c>
      <c r="T65" s="34">
        <v>8</v>
      </c>
      <c r="U65" s="35"/>
    </row>
    <row r="66" spans="18:21" x14ac:dyDescent="0.25">
      <c r="R66" s="34">
        <v>80</v>
      </c>
      <c r="S66" s="34">
        <v>48</v>
      </c>
      <c r="T66" s="34">
        <v>8</v>
      </c>
      <c r="U66" s="35"/>
    </row>
    <row r="67" spans="18:21" x14ac:dyDescent="0.25">
      <c r="R67" s="34">
        <v>80</v>
      </c>
      <c r="S67" s="34">
        <v>60</v>
      </c>
      <c r="T67" s="34">
        <v>8</v>
      </c>
      <c r="U67" s="35"/>
    </row>
    <row r="68" spans="18:21" x14ac:dyDescent="0.25">
      <c r="R68" s="34">
        <v>80</v>
      </c>
      <c r="S68" s="34">
        <v>66</v>
      </c>
      <c r="T68" s="34">
        <v>8</v>
      </c>
      <c r="U68" s="35"/>
    </row>
    <row r="69" spans="18:21" x14ac:dyDescent="0.25">
      <c r="R69" s="34">
        <v>80</v>
      </c>
      <c r="S69" s="34">
        <v>72</v>
      </c>
      <c r="T69" s="34">
        <v>8</v>
      </c>
      <c r="U69" s="35"/>
    </row>
    <row r="70" spans="18:21" x14ac:dyDescent="0.25">
      <c r="R70" s="34">
        <v>84</v>
      </c>
      <c r="S70" s="34">
        <v>30</v>
      </c>
      <c r="T70" s="34">
        <v>8</v>
      </c>
      <c r="U70" s="35"/>
    </row>
    <row r="71" spans="18:21" x14ac:dyDescent="0.25">
      <c r="R71" s="34">
        <v>84</v>
      </c>
      <c r="S71" s="34">
        <v>36</v>
      </c>
      <c r="T71" s="34">
        <v>8</v>
      </c>
      <c r="U71" s="35"/>
    </row>
    <row r="72" spans="18:21" x14ac:dyDescent="0.25">
      <c r="R72" s="34">
        <v>84</v>
      </c>
      <c r="S72" s="34">
        <v>42</v>
      </c>
      <c r="T72" s="34">
        <v>8</v>
      </c>
      <c r="U72" s="35"/>
    </row>
    <row r="73" spans="18:21" x14ac:dyDescent="0.25">
      <c r="R73" s="34">
        <v>84</v>
      </c>
      <c r="S73" s="34">
        <v>48</v>
      </c>
      <c r="T73" s="34">
        <v>8</v>
      </c>
      <c r="U73" s="35"/>
    </row>
    <row r="74" spans="18:21" x14ac:dyDescent="0.25">
      <c r="R74" s="34">
        <v>84</v>
      </c>
      <c r="S74" s="34">
        <v>60</v>
      </c>
      <c r="T74" s="34">
        <v>8</v>
      </c>
      <c r="U74" s="35"/>
    </row>
    <row r="75" spans="18:21" x14ac:dyDescent="0.25">
      <c r="R75" s="34">
        <v>84</v>
      </c>
      <c r="S75" s="34">
        <v>66</v>
      </c>
      <c r="T75" s="34">
        <v>8</v>
      </c>
      <c r="U75" s="35"/>
    </row>
    <row r="76" spans="18:21" x14ac:dyDescent="0.25">
      <c r="R76" s="34">
        <v>84</v>
      </c>
      <c r="S76" s="34">
        <v>72</v>
      </c>
      <c r="T76" s="34">
        <v>8</v>
      </c>
      <c r="U76" s="35"/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80</v>
      </c>
      <c r="B1" s="31" t="s">
        <v>81</v>
      </c>
      <c r="C1" s="32" t="s">
        <v>82</v>
      </c>
      <c r="D1" s="31" t="s">
        <v>83</v>
      </c>
      <c r="E1" s="31" t="s">
        <v>4</v>
      </c>
      <c r="F1" s="31" t="s">
        <v>84</v>
      </c>
      <c r="G1" s="32" t="s">
        <v>85</v>
      </c>
    </row>
    <row r="2" spans="1:7" x14ac:dyDescent="0.25">
      <c r="A2">
        <v>1</v>
      </c>
      <c r="B2" t="s">
        <v>112</v>
      </c>
      <c r="C2">
        <v>10</v>
      </c>
      <c r="D2" t="s">
        <v>263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112</v>
      </c>
      <c r="C3">
        <v>20</v>
      </c>
      <c r="D3" t="s">
        <v>109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112</v>
      </c>
      <c r="C4">
        <v>30</v>
      </c>
      <c r="D4" t="s">
        <v>110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112</v>
      </c>
      <c r="C5">
        <v>40</v>
      </c>
      <c r="D5" t="s">
        <v>105</v>
      </c>
      <c r="E5" t="s">
        <v>106</v>
      </c>
      <c r="F5">
        <v>0.23</v>
      </c>
      <c r="G5" t="s">
        <v>14</v>
      </c>
    </row>
    <row r="6" spans="1:7" x14ac:dyDescent="0.25">
      <c r="A6">
        <v>1</v>
      </c>
      <c r="B6" t="s">
        <v>112</v>
      </c>
      <c r="C6">
        <v>50</v>
      </c>
      <c r="D6" t="s">
        <v>107</v>
      </c>
      <c r="E6" t="s">
        <v>15</v>
      </c>
      <c r="F6">
        <v>11.074</v>
      </c>
      <c r="G6" t="s">
        <v>14</v>
      </c>
    </row>
    <row r="7" spans="1:7" x14ac:dyDescent="0.25">
      <c r="A7">
        <v>1</v>
      </c>
      <c r="B7" t="s">
        <v>112</v>
      </c>
      <c r="C7">
        <v>60</v>
      </c>
      <c r="D7" t="s">
        <v>18</v>
      </c>
      <c r="E7" t="s">
        <v>15</v>
      </c>
      <c r="F7">
        <v>68.108000000000004</v>
      </c>
      <c r="G7" t="s">
        <v>14</v>
      </c>
    </row>
    <row r="8" spans="1:7" x14ac:dyDescent="0.25">
      <c r="A8">
        <v>1</v>
      </c>
      <c r="B8" t="s">
        <v>112</v>
      </c>
      <c r="C8">
        <v>70</v>
      </c>
      <c r="D8" t="s">
        <v>113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112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112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112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112</v>
      </c>
      <c r="C12">
        <v>110</v>
      </c>
      <c r="D12" t="s">
        <v>111</v>
      </c>
      <c r="E12" t="s">
        <v>13</v>
      </c>
      <c r="F12">
        <v>0.58099999999999996</v>
      </c>
      <c r="G12" t="s">
        <v>14</v>
      </c>
    </row>
    <row r="13" spans="1:7" x14ac:dyDescent="0.25">
      <c r="A13">
        <v>1</v>
      </c>
      <c r="B13" t="s">
        <v>112</v>
      </c>
      <c r="C13">
        <v>120</v>
      </c>
      <c r="D13" t="s">
        <v>153</v>
      </c>
      <c r="E13" t="s">
        <v>11</v>
      </c>
      <c r="F13">
        <v>1</v>
      </c>
      <c r="G13" t="s">
        <v>16</v>
      </c>
    </row>
    <row r="14" spans="1:7" x14ac:dyDescent="0.25">
      <c r="A14">
        <v>2</v>
      </c>
      <c r="B14" t="s">
        <v>114</v>
      </c>
      <c r="C14">
        <v>10</v>
      </c>
      <c r="D14" t="s">
        <v>264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114</v>
      </c>
      <c r="C15">
        <v>20</v>
      </c>
      <c r="D15" t="s">
        <v>109</v>
      </c>
      <c r="E15" t="s">
        <v>15</v>
      </c>
      <c r="F15">
        <v>1.016</v>
      </c>
      <c r="G15" t="s">
        <v>16</v>
      </c>
    </row>
    <row r="16" spans="1:7" x14ac:dyDescent="0.25">
      <c r="A16">
        <v>2</v>
      </c>
      <c r="B16" t="s">
        <v>114</v>
      </c>
      <c r="C16">
        <v>30</v>
      </c>
      <c r="D16" t="s">
        <v>110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114</v>
      </c>
      <c r="C17">
        <v>40</v>
      </c>
      <c r="D17" t="s">
        <v>105</v>
      </c>
      <c r="E17" t="s">
        <v>106</v>
      </c>
      <c r="F17">
        <v>0.27300000000000002</v>
      </c>
      <c r="G17" t="s">
        <v>14</v>
      </c>
    </row>
    <row r="18" spans="1:7" x14ac:dyDescent="0.25">
      <c r="A18">
        <v>2</v>
      </c>
      <c r="B18" t="s">
        <v>114</v>
      </c>
      <c r="C18">
        <v>50</v>
      </c>
      <c r="D18" t="s">
        <v>107</v>
      </c>
      <c r="E18" t="s">
        <v>15</v>
      </c>
      <c r="F18">
        <v>11.683999999999999</v>
      </c>
      <c r="G18" t="s">
        <v>14</v>
      </c>
    </row>
    <row r="19" spans="1:7" x14ac:dyDescent="0.25">
      <c r="A19">
        <v>2</v>
      </c>
      <c r="B19" t="s">
        <v>114</v>
      </c>
      <c r="C19">
        <v>60</v>
      </c>
      <c r="D19" t="s">
        <v>18</v>
      </c>
      <c r="E19" t="s">
        <v>15</v>
      </c>
      <c r="F19">
        <v>71.856999999999999</v>
      </c>
      <c r="G19" t="s">
        <v>14</v>
      </c>
    </row>
    <row r="20" spans="1:7" x14ac:dyDescent="0.25">
      <c r="A20">
        <v>2</v>
      </c>
      <c r="B20" t="s">
        <v>114</v>
      </c>
      <c r="C20">
        <v>70</v>
      </c>
      <c r="D20" t="s">
        <v>113</v>
      </c>
      <c r="E20" t="s">
        <v>11</v>
      </c>
      <c r="F20">
        <v>4</v>
      </c>
      <c r="G20" t="s">
        <v>14</v>
      </c>
    </row>
    <row r="21" spans="1:7" x14ac:dyDescent="0.25">
      <c r="A21">
        <v>2</v>
      </c>
      <c r="B21" t="s">
        <v>114</v>
      </c>
      <c r="C21">
        <v>80</v>
      </c>
      <c r="D21" t="s">
        <v>21</v>
      </c>
      <c r="E21" t="s">
        <v>11</v>
      </c>
      <c r="F21">
        <v>1</v>
      </c>
      <c r="G21" t="s">
        <v>14</v>
      </c>
    </row>
    <row r="22" spans="1:7" x14ac:dyDescent="0.25">
      <c r="A22">
        <v>2</v>
      </c>
      <c r="B22" t="s">
        <v>114</v>
      </c>
      <c r="C22">
        <v>90</v>
      </c>
      <c r="D22" t="s">
        <v>22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114</v>
      </c>
      <c r="C23">
        <v>100</v>
      </c>
      <c r="D23" t="s">
        <v>23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114</v>
      </c>
      <c r="C24">
        <v>110</v>
      </c>
      <c r="D24" t="s">
        <v>111</v>
      </c>
      <c r="E24" t="s">
        <v>13</v>
      </c>
      <c r="F24">
        <v>0.66200000000000003</v>
      </c>
      <c r="G24" t="s">
        <v>14</v>
      </c>
    </row>
    <row r="25" spans="1:7" x14ac:dyDescent="0.25">
      <c r="A25">
        <v>2</v>
      </c>
      <c r="B25" t="s">
        <v>114</v>
      </c>
      <c r="C25">
        <v>120</v>
      </c>
      <c r="D25" t="s">
        <v>154</v>
      </c>
      <c r="E25" t="s">
        <v>11</v>
      </c>
      <c r="F25">
        <v>1</v>
      </c>
      <c r="G25" t="s">
        <v>16</v>
      </c>
    </row>
    <row r="26" spans="1:7" x14ac:dyDescent="0.25">
      <c r="A26">
        <v>3</v>
      </c>
      <c r="B26" t="s">
        <v>115</v>
      </c>
      <c r="C26">
        <v>10</v>
      </c>
      <c r="D26" t="s">
        <v>265</v>
      </c>
      <c r="E26" t="s">
        <v>11</v>
      </c>
      <c r="F26">
        <v>1</v>
      </c>
      <c r="G26" t="s">
        <v>16</v>
      </c>
    </row>
    <row r="27" spans="1:7" x14ac:dyDescent="0.25">
      <c r="A27">
        <v>3</v>
      </c>
      <c r="B27" t="s">
        <v>115</v>
      </c>
      <c r="C27">
        <v>20</v>
      </c>
      <c r="D27" t="s">
        <v>109</v>
      </c>
      <c r="E27" t="s">
        <v>15</v>
      </c>
      <c r="F27">
        <v>1.1679999999999999</v>
      </c>
      <c r="G27" t="s">
        <v>16</v>
      </c>
    </row>
    <row r="28" spans="1:7" x14ac:dyDescent="0.25">
      <c r="A28">
        <v>3</v>
      </c>
      <c r="B28" t="s">
        <v>115</v>
      </c>
      <c r="C28">
        <v>30</v>
      </c>
      <c r="D28" t="s">
        <v>110</v>
      </c>
      <c r="E28" t="s">
        <v>15</v>
      </c>
      <c r="F28">
        <v>1.1679999999999999</v>
      </c>
      <c r="G28" t="s">
        <v>16</v>
      </c>
    </row>
    <row r="29" spans="1:7" x14ac:dyDescent="0.25">
      <c r="A29">
        <v>3</v>
      </c>
      <c r="B29" t="s">
        <v>115</v>
      </c>
      <c r="C29">
        <v>40</v>
      </c>
      <c r="D29" t="s">
        <v>105</v>
      </c>
      <c r="E29" t="s">
        <v>106</v>
      </c>
      <c r="F29">
        <v>0.316</v>
      </c>
      <c r="G29" t="s">
        <v>14</v>
      </c>
    </row>
    <row r="30" spans="1:7" x14ac:dyDescent="0.25">
      <c r="A30">
        <v>3</v>
      </c>
      <c r="B30" t="s">
        <v>115</v>
      </c>
      <c r="C30">
        <v>50</v>
      </c>
      <c r="D30" t="s">
        <v>107</v>
      </c>
      <c r="E30" t="s">
        <v>15</v>
      </c>
      <c r="F30">
        <v>12.294</v>
      </c>
      <c r="G30" t="s">
        <v>14</v>
      </c>
    </row>
    <row r="31" spans="1:7" x14ac:dyDescent="0.25">
      <c r="A31">
        <v>3</v>
      </c>
      <c r="B31" t="s">
        <v>115</v>
      </c>
      <c r="C31">
        <v>60</v>
      </c>
      <c r="D31" t="s">
        <v>18</v>
      </c>
      <c r="E31" t="s">
        <v>15</v>
      </c>
      <c r="F31">
        <v>75.605999999999995</v>
      </c>
      <c r="G31" t="s">
        <v>14</v>
      </c>
    </row>
    <row r="32" spans="1:7" x14ac:dyDescent="0.25">
      <c r="A32">
        <v>3</v>
      </c>
      <c r="B32" t="s">
        <v>115</v>
      </c>
      <c r="C32">
        <v>70</v>
      </c>
      <c r="D32" t="s">
        <v>113</v>
      </c>
      <c r="E32" t="s">
        <v>11</v>
      </c>
      <c r="F32">
        <v>4</v>
      </c>
      <c r="G32" t="s">
        <v>14</v>
      </c>
    </row>
    <row r="33" spans="1:7" x14ac:dyDescent="0.25">
      <c r="A33">
        <v>3</v>
      </c>
      <c r="B33" t="s">
        <v>115</v>
      </c>
      <c r="C33">
        <v>80</v>
      </c>
      <c r="D33" t="s">
        <v>21</v>
      </c>
      <c r="E33" t="s">
        <v>11</v>
      </c>
      <c r="F33">
        <v>1</v>
      </c>
      <c r="G33" t="s">
        <v>14</v>
      </c>
    </row>
    <row r="34" spans="1:7" x14ac:dyDescent="0.25">
      <c r="A34">
        <v>3</v>
      </c>
      <c r="B34" t="s">
        <v>115</v>
      </c>
      <c r="C34">
        <v>90</v>
      </c>
      <c r="D34" t="s">
        <v>22</v>
      </c>
      <c r="E34" t="s">
        <v>11</v>
      </c>
      <c r="F34">
        <v>1</v>
      </c>
      <c r="G34" t="s">
        <v>14</v>
      </c>
    </row>
    <row r="35" spans="1:7" x14ac:dyDescent="0.25">
      <c r="A35">
        <v>3</v>
      </c>
      <c r="B35" t="s">
        <v>115</v>
      </c>
      <c r="C35">
        <v>100</v>
      </c>
      <c r="D35" t="s">
        <v>23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115</v>
      </c>
      <c r="C36">
        <v>110</v>
      </c>
      <c r="D36" t="s">
        <v>111</v>
      </c>
      <c r="E36" t="s">
        <v>13</v>
      </c>
      <c r="F36">
        <v>0.74299999999999999</v>
      </c>
      <c r="G36" t="s">
        <v>14</v>
      </c>
    </row>
    <row r="37" spans="1:7" x14ac:dyDescent="0.25">
      <c r="A37">
        <v>3</v>
      </c>
      <c r="B37" t="s">
        <v>115</v>
      </c>
      <c r="C37">
        <v>120</v>
      </c>
      <c r="D37" t="s">
        <v>155</v>
      </c>
      <c r="E37" t="s">
        <v>11</v>
      </c>
      <c r="F37">
        <v>1</v>
      </c>
      <c r="G37" t="s">
        <v>16</v>
      </c>
    </row>
    <row r="38" spans="1:7" x14ac:dyDescent="0.25">
      <c r="A38">
        <v>4</v>
      </c>
      <c r="B38" t="s">
        <v>116</v>
      </c>
      <c r="C38">
        <v>10</v>
      </c>
      <c r="D38" t="s">
        <v>266</v>
      </c>
      <c r="E38" t="s">
        <v>11</v>
      </c>
      <c r="F38">
        <v>1</v>
      </c>
      <c r="G38" t="s">
        <v>16</v>
      </c>
    </row>
    <row r="39" spans="1:7" x14ac:dyDescent="0.25">
      <c r="A39">
        <v>4</v>
      </c>
      <c r="B39" t="s">
        <v>116</v>
      </c>
      <c r="C39">
        <v>20</v>
      </c>
      <c r="D39" t="s">
        <v>109</v>
      </c>
      <c r="E39" t="s">
        <v>15</v>
      </c>
      <c r="F39">
        <v>1.321</v>
      </c>
      <c r="G39" t="s">
        <v>16</v>
      </c>
    </row>
    <row r="40" spans="1:7" x14ac:dyDescent="0.25">
      <c r="A40">
        <v>4</v>
      </c>
      <c r="B40" t="s">
        <v>116</v>
      </c>
      <c r="C40">
        <v>30</v>
      </c>
      <c r="D40" t="s">
        <v>110</v>
      </c>
      <c r="E40" t="s">
        <v>15</v>
      </c>
      <c r="F40">
        <v>1.321</v>
      </c>
      <c r="G40" t="s">
        <v>16</v>
      </c>
    </row>
    <row r="41" spans="1:7" x14ac:dyDescent="0.25">
      <c r="A41">
        <v>4</v>
      </c>
      <c r="B41" t="s">
        <v>116</v>
      </c>
      <c r="C41">
        <v>40</v>
      </c>
      <c r="D41" t="s">
        <v>105</v>
      </c>
      <c r="E41" t="s">
        <v>106</v>
      </c>
      <c r="F41">
        <v>0.35899999999999999</v>
      </c>
      <c r="G41" t="s">
        <v>14</v>
      </c>
    </row>
    <row r="42" spans="1:7" x14ac:dyDescent="0.25">
      <c r="A42">
        <v>4</v>
      </c>
      <c r="B42" t="s">
        <v>116</v>
      </c>
      <c r="C42">
        <v>50</v>
      </c>
      <c r="D42" t="s">
        <v>107</v>
      </c>
      <c r="E42" t="s">
        <v>15</v>
      </c>
      <c r="F42">
        <v>12.903</v>
      </c>
      <c r="G42" t="s">
        <v>14</v>
      </c>
    </row>
    <row r="43" spans="1:7" x14ac:dyDescent="0.25">
      <c r="A43">
        <v>4</v>
      </c>
      <c r="B43" t="s">
        <v>116</v>
      </c>
      <c r="C43">
        <v>60</v>
      </c>
      <c r="D43" t="s">
        <v>18</v>
      </c>
      <c r="E43" t="s">
        <v>15</v>
      </c>
      <c r="F43">
        <v>79.355000000000004</v>
      </c>
      <c r="G43" t="s">
        <v>14</v>
      </c>
    </row>
    <row r="44" spans="1:7" x14ac:dyDescent="0.25">
      <c r="A44">
        <v>4</v>
      </c>
      <c r="B44" t="s">
        <v>116</v>
      </c>
      <c r="C44">
        <v>70</v>
      </c>
      <c r="D44" t="s">
        <v>113</v>
      </c>
      <c r="E44" t="s">
        <v>11</v>
      </c>
      <c r="F44">
        <v>4</v>
      </c>
      <c r="G44" t="s">
        <v>14</v>
      </c>
    </row>
    <row r="45" spans="1:7" x14ac:dyDescent="0.25">
      <c r="A45">
        <v>4</v>
      </c>
      <c r="B45" t="s">
        <v>116</v>
      </c>
      <c r="C45">
        <v>80</v>
      </c>
      <c r="D45" t="s">
        <v>21</v>
      </c>
      <c r="E45" t="s">
        <v>11</v>
      </c>
      <c r="F45">
        <v>1</v>
      </c>
      <c r="G45" t="s">
        <v>14</v>
      </c>
    </row>
    <row r="46" spans="1:7" x14ac:dyDescent="0.25">
      <c r="A46">
        <v>4</v>
      </c>
      <c r="B46" t="s">
        <v>116</v>
      </c>
      <c r="C46">
        <v>90</v>
      </c>
      <c r="D46" t="s">
        <v>22</v>
      </c>
      <c r="E46" t="s">
        <v>11</v>
      </c>
      <c r="F46">
        <v>1</v>
      </c>
      <c r="G46" t="s">
        <v>14</v>
      </c>
    </row>
    <row r="47" spans="1:7" x14ac:dyDescent="0.25">
      <c r="A47">
        <v>4</v>
      </c>
      <c r="B47" t="s">
        <v>116</v>
      </c>
      <c r="C47">
        <v>100</v>
      </c>
      <c r="D47" t="s">
        <v>23</v>
      </c>
      <c r="E47" t="s">
        <v>11</v>
      </c>
      <c r="F47">
        <v>1</v>
      </c>
      <c r="G47" t="s">
        <v>14</v>
      </c>
    </row>
    <row r="48" spans="1:7" x14ac:dyDescent="0.25">
      <c r="A48">
        <v>4</v>
      </c>
      <c r="B48" t="s">
        <v>116</v>
      </c>
      <c r="C48">
        <v>110</v>
      </c>
      <c r="D48" t="s">
        <v>111</v>
      </c>
      <c r="E48" t="s">
        <v>13</v>
      </c>
      <c r="F48">
        <v>0.82399999999999995</v>
      </c>
      <c r="G48" t="s">
        <v>14</v>
      </c>
    </row>
    <row r="49" spans="1:7" x14ac:dyDescent="0.25">
      <c r="A49">
        <v>4</v>
      </c>
      <c r="B49" t="s">
        <v>116</v>
      </c>
      <c r="C49">
        <v>120</v>
      </c>
      <c r="D49" t="s">
        <v>156</v>
      </c>
      <c r="E49" t="s">
        <v>11</v>
      </c>
      <c r="F49">
        <v>1</v>
      </c>
      <c r="G49" t="s">
        <v>16</v>
      </c>
    </row>
    <row r="50" spans="1:7" x14ac:dyDescent="0.25">
      <c r="A50">
        <v>5</v>
      </c>
      <c r="B50" t="s">
        <v>117</v>
      </c>
      <c r="C50">
        <v>10</v>
      </c>
      <c r="D50" t="s">
        <v>267</v>
      </c>
      <c r="E50" t="s">
        <v>11</v>
      </c>
      <c r="F50">
        <v>1</v>
      </c>
      <c r="G50" t="s">
        <v>16</v>
      </c>
    </row>
    <row r="51" spans="1:7" x14ac:dyDescent="0.25">
      <c r="A51">
        <v>5</v>
      </c>
      <c r="B51" t="s">
        <v>117</v>
      </c>
      <c r="C51">
        <v>20</v>
      </c>
      <c r="D51" t="s">
        <v>109</v>
      </c>
      <c r="E51" t="s">
        <v>15</v>
      </c>
      <c r="F51">
        <v>1.397</v>
      </c>
      <c r="G51" t="s">
        <v>16</v>
      </c>
    </row>
    <row r="52" spans="1:7" x14ac:dyDescent="0.25">
      <c r="A52">
        <v>5</v>
      </c>
      <c r="B52" t="s">
        <v>117</v>
      </c>
      <c r="C52">
        <v>30</v>
      </c>
      <c r="D52" t="s">
        <v>110</v>
      </c>
      <c r="E52" t="s">
        <v>15</v>
      </c>
      <c r="F52">
        <v>1.397</v>
      </c>
      <c r="G52" t="s">
        <v>16</v>
      </c>
    </row>
    <row r="53" spans="1:7" x14ac:dyDescent="0.25">
      <c r="A53">
        <v>5</v>
      </c>
      <c r="B53" t="s">
        <v>117</v>
      </c>
      <c r="C53">
        <v>40</v>
      </c>
      <c r="D53" t="s">
        <v>105</v>
      </c>
      <c r="E53" t="s">
        <v>106</v>
      </c>
      <c r="F53">
        <v>0.38100000000000001</v>
      </c>
      <c r="G53" t="s">
        <v>14</v>
      </c>
    </row>
    <row r="54" spans="1:7" x14ac:dyDescent="0.25">
      <c r="A54">
        <v>5</v>
      </c>
      <c r="B54" t="s">
        <v>117</v>
      </c>
      <c r="C54">
        <v>50</v>
      </c>
      <c r="D54" t="s">
        <v>107</v>
      </c>
      <c r="E54" t="s">
        <v>15</v>
      </c>
      <c r="F54">
        <v>13.208</v>
      </c>
      <c r="G54" t="s">
        <v>14</v>
      </c>
    </row>
    <row r="55" spans="1:7" x14ac:dyDescent="0.25">
      <c r="A55">
        <v>5</v>
      </c>
      <c r="B55" t="s">
        <v>117</v>
      </c>
      <c r="C55">
        <v>60</v>
      </c>
      <c r="D55" t="s">
        <v>18</v>
      </c>
      <c r="E55" t="s">
        <v>15</v>
      </c>
      <c r="F55">
        <v>81.228999999999999</v>
      </c>
      <c r="G55" t="s">
        <v>14</v>
      </c>
    </row>
    <row r="56" spans="1:7" x14ac:dyDescent="0.25">
      <c r="A56">
        <v>5</v>
      </c>
      <c r="B56" t="s">
        <v>117</v>
      </c>
      <c r="C56">
        <v>70</v>
      </c>
      <c r="D56" t="s">
        <v>113</v>
      </c>
      <c r="E56" t="s">
        <v>11</v>
      </c>
      <c r="F56">
        <v>4</v>
      </c>
      <c r="G56" t="s">
        <v>14</v>
      </c>
    </row>
    <row r="57" spans="1:7" x14ac:dyDescent="0.25">
      <c r="A57">
        <v>5</v>
      </c>
      <c r="B57" t="s">
        <v>117</v>
      </c>
      <c r="C57">
        <v>80</v>
      </c>
      <c r="D57" t="s">
        <v>21</v>
      </c>
      <c r="E57" t="s">
        <v>11</v>
      </c>
      <c r="F57">
        <v>1</v>
      </c>
      <c r="G57" t="s">
        <v>14</v>
      </c>
    </row>
    <row r="58" spans="1:7" x14ac:dyDescent="0.25">
      <c r="A58">
        <v>5</v>
      </c>
      <c r="B58" t="s">
        <v>117</v>
      </c>
      <c r="C58">
        <v>90</v>
      </c>
      <c r="D58" t="s">
        <v>22</v>
      </c>
      <c r="E58" t="s">
        <v>11</v>
      </c>
      <c r="F58">
        <v>1</v>
      </c>
      <c r="G58" t="s">
        <v>14</v>
      </c>
    </row>
    <row r="59" spans="1:7" x14ac:dyDescent="0.25">
      <c r="A59">
        <v>5</v>
      </c>
      <c r="B59" t="s">
        <v>117</v>
      </c>
      <c r="C59">
        <v>100</v>
      </c>
      <c r="D59" t="s">
        <v>23</v>
      </c>
      <c r="E59" t="s">
        <v>11</v>
      </c>
      <c r="F59">
        <v>1</v>
      </c>
      <c r="G59" t="s">
        <v>14</v>
      </c>
    </row>
    <row r="60" spans="1:7" x14ac:dyDescent="0.25">
      <c r="A60">
        <v>5</v>
      </c>
      <c r="B60" t="s">
        <v>117</v>
      </c>
      <c r="C60">
        <v>110</v>
      </c>
      <c r="D60" t="s">
        <v>111</v>
      </c>
      <c r="E60" t="s">
        <v>13</v>
      </c>
      <c r="F60">
        <v>0.86499999999999999</v>
      </c>
      <c r="G60" t="s">
        <v>14</v>
      </c>
    </row>
    <row r="61" spans="1:7" x14ac:dyDescent="0.25">
      <c r="A61">
        <v>5</v>
      </c>
      <c r="B61" t="s">
        <v>117</v>
      </c>
      <c r="C61">
        <v>120</v>
      </c>
      <c r="D61" t="s">
        <v>157</v>
      </c>
      <c r="E61" t="s">
        <v>11</v>
      </c>
      <c r="F61">
        <v>1</v>
      </c>
      <c r="G61" t="s">
        <v>16</v>
      </c>
    </row>
    <row r="62" spans="1:7" x14ac:dyDescent="0.25">
      <c r="A62">
        <v>6</v>
      </c>
      <c r="B62" t="s">
        <v>118</v>
      </c>
      <c r="C62">
        <v>10</v>
      </c>
      <c r="D62" t="s">
        <v>268</v>
      </c>
      <c r="E62" t="s">
        <v>11</v>
      </c>
      <c r="F62">
        <v>1</v>
      </c>
      <c r="G62" t="s">
        <v>16</v>
      </c>
    </row>
    <row r="63" spans="1:7" x14ac:dyDescent="0.25">
      <c r="A63">
        <v>6</v>
      </c>
      <c r="B63" t="s">
        <v>118</v>
      </c>
      <c r="C63">
        <v>20</v>
      </c>
      <c r="D63" t="s">
        <v>109</v>
      </c>
      <c r="E63" t="s">
        <v>15</v>
      </c>
      <c r="F63">
        <v>1.4730000000000001</v>
      </c>
      <c r="G63" t="s">
        <v>16</v>
      </c>
    </row>
    <row r="64" spans="1:7" x14ac:dyDescent="0.25">
      <c r="A64">
        <v>6</v>
      </c>
      <c r="B64" t="s">
        <v>118</v>
      </c>
      <c r="C64">
        <v>30</v>
      </c>
      <c r="D64" t="s">
        <v>110</v>
      </c>
      <c r="E64" t="s">
        <v>15</v>
      </c>
      <c r="F64">
        <v>1.4730000000000001</v>
      </c>
      <c r="G64" t="s">
        <v>16</v>
      </c>
    </row>
    <row r="65" spans="1:7" x14ac:dyDescent="0.25">
      <c r="A65">
        <v>6</v>
      </c>
      <c r="B65" t="s">
        <v>118</v>
      </c>
      <c r="C65">
        <v>40</v>
      </c>
      <c r="D65" t="s">
        <v>105</v>
      </c>
      <c r="E65" t="s">
        <v>106</v>
      </c>
      <c r="F65">
        <v>0.40300000000000002</v>
      </c>
      <c r="G65" t="s">
        <v>14</v>
      </c>
    </row>
    <row r="66" spans="1:7" x14ac:dyDescent="0.25">
      <c r="A66">
        <v>6</v>
      </c>
      <c r="B66" t="s">
        <v>118</v>
      </c>
      <c r="C66">
        <v>50</v>
      </c>
      <c r="D66" t="s">
        <v>107</v>
      </c>
      <c r="E66" t="s">
        <v>15</v>
      </c>
      <c r="F66">
        <v>13.513</v>
      </c>
      <c r="G66" t="s">
        <v>14</v>
      </c>
    </row>
    <row r="67" spans="1:7" x14ac:dyDescent="0.25">
      <c r="A67">
        <v>6</v>
      </c>
      <c r="B67" t="s">
        <v>118</v>
      </c>
      <c r="C67">
        <v>60</v>
      </c>
      <c r="D67" t="s">
        <v>18</v>
      </c>
      <c r="E67" t="s">
        <v>15</v>
      </c>
      <c r="F67">
        <v>83.103999999999999</v>
      </c>
      <c r="G67" t="s">
        <v>14</v>
      </c>
    </row>
    <row r="68" spans="1:7" x14ac:dyDescent="0.25">
      <c r="A68">
        <v>6</v>
      </c>
      <c r="B68" t="s">
        <v>118</v>
      </c>
      <c r="C68">
        <v>70</v>
      </c>
      <c r="D68" t="s">
        <v>113</v>
      </c>
      <c r="E68" t="s">
        <v>11</v>
      </c>
      <c r="F68">
        <v>4</v>
      </c>
      <c r="G68" t="s">
        <v>14</v>
      </c>
    </row>
    <row r="69" spans="1:7" x14ac:dyDescent="0.25">
      <c r="A69">
        <v>6</v>
      </c>
      <c r="B69" t="s">
        <v>118</v>
      </c>
      <c r="C69">
        <v>80</v>
      </c>
      <c r="D69" t="s">
        <v>21</v>
      </c>
      <c r="E69" t="s">
        <v>11</v>
      </c>
      <c r="F69">
        <v>1</v>
      </c>
      <c r="G69" t="s">
        <v>14</v>
      </c>
    </row>
    <row r="70" spans="1:7" x14ac:dyDescent="0.25">
      <c r="A70">
        <v>6</v>
      </c>
      <c r="B70" t="s">
        <v>118</v>
      </c>
      <c r="C70">
        <v>90</v>
      </c>
      <c r="D70" t="s">
        <v>22</v>
      </c>
      <c r="E70" t="s">
        <v>11</v>
      </c>
      <c r="F70">
        <v>1</v>
      </c>
      <c r="G70" t="s">
        <v>14</v>
      </c>
    </row>
    <row r="71" spans="1:7" x14ac:dyDescent="0.25">
      <c r="A71">
        <v>6</v>
      </c>
      <c r="B71" t="s">
        <v>118</v>
      </c>
      <c r="C71">
        <v>100</v>
      </c>
      <c r="D71" t="s">
        <v>23</v>
      </c>
      <c r="E71" t="s">
        <v>11</v>
      </c>
      <c r="F71">
        <v>1</v>
      </c>
      <c r="G71" t="s">
        <v>14</v>
      </c>
    </row>
    <row r="72" spans="1:7" x14ac:dyDescent="0.25">
      <c r="A72">
        <v>6</v>
      </c>
      <c r="B72" t="s">
        <v>118</v>
      </c>
      <c r="C72">
        <v>110</v>
      </c>
      <c r="D72" t="s">
        <v>111</v>
      </c>
      <c r="E72" t="s">
        <v>13</v>
      </c>
      <c r="F72">
        <v>0.90500000000000003</v>
      </c>
      <c r="G72" t="s">
        <v>14</v>
      </c>
    </row>
    <row r="73" spans="1:7" x14ac:dyDescent="0.25">
      <c r="A73">
        <v>6</v>
      </c>
      <c r="B73" t="s">
        <v>118</v>
      </c>
      <c r="C73">
        <v>120</v>
      </c>
      <c r="D73" t="s">
        <v>158</v>
      </c>
      <c r="E73" t="s">
        <v>11</v>
      </c>
      <c r="F73">
        <v>1</v>
      </c>
      <c r="G73" t="s">
        <v>16</v>
      </c>
    </row>
    <row r="74" spans="1:7" x14ac:dyDescent="0.25">
      <c r="A74">
        <v>7</v>
      </c>
      <c r="B74" t="s">
        <v>119</v>
      </c>
      <c r="C74">
        <v>10</v>
      </c>
      <c r="D74" t="s">
        <v>269</v>
      </c>
      <c r="E74" t="s">
        <v>11</v>
      </c>
      <c r="F74">
        <v>1</v>
      </c>
      <c r="G74" t="s">
        <v>16</v>
      </c>
    </row>
    <row r="75" spans="1:7" x14ac:dyDescent="0.25">
      <c r="A75">
        <v>7</v>
      </c>
      <c r="B75" t="s">
        <v>119</v>
      </c>
      <c r="C75">
        <v>20</v>
      </c>
      <c r="D75" t="s">
        <v>109</v>
      </c>
      <c r="E75" t="s">
        <v>15</v>
      </c>
      <c r="F75">
        <v>1.6259999999999999</v>
      </c>
      <c r="G75" t="s">
        <v>16</v>
      </c>
    </row>
    <row r="76" spans="1:7" x14ac:dyDescent="0.25">
      <c r="A76">
        <v>7</v>
      </c>
      <c r="B76" t="s">
        <v>119</v>
      </c>
      <c r="C76">
        <v>30</v>
      </c>
      <c r="D76" t="s">
        <v>110</v>
      </c>
      <c r="E76" t="s">
        <v>15</v>
      </c>
      <c r="F76">
        <v>1.6259999999999999</v>
      </c>
      <c r="G76" t="s">
        <v>16</v>
      </c>
    </row>
    <row r="77" spans="1:7" x14ac:dyDescent="0.25">
      <c r="A77">
        <v>7</v>
      </c>
      <c r="B77" t="s">
        <v>119</v>
      </c>
      <c r="C77">
        <v>40</v>
      </c>
      <c r="D77" t="s">
        <v>105</v>
      </c>
      <c r="E77" t="s">
        <v>106</v>
      </c>
      <c r="F77">
        <v>0.44600000000000001</v>
      </c>
      <c r="G77" t="s">
        <v>14</v>
      </c>
    </row>
    <row r="78" spans="1:7" x14ac:dyDescent="0.25">
      <c r="A78">
        <v>7</v>
      </c>
      <c r="B78" t="s">
        <v>119</v>
      </c>
      <c r="C78">
        <v>50</v>
      </c>
      <c r="D78" t="s">
        <v>107</v>
      </c>
      <c r="E78" t="s">
        <v>15</v>
      </c>
      <c r="F78">
        <v>14.122</v>
      </c>
      <c r="G78" t="s">
        <v>14</v>
      </c>
    </row>
    <row r="79" spans="1:7" x14ac:dyDescent="0.25">
      <c r="A79">
        <v>7</v>
      </c>
      <c r="B79" t="s">
        <v>119</v>
      </c>
      <c r="C79">
        <v>60</v>
      </c>
      <c r="D79" t="s">
        <v>18</v>
      </c>
      <c r="E79" t="s">
        <v>15</v>
      </c>
      <c r="F79">
        <v>86.852999999999994</v>
      </c>
      <c r="G79" t="s">
        <v>14</v>
      </c>
    </row>
    <row r="80" spans="1:7" x14ac:dyDescent="0.25">
      <c r="A80">
        <v>7</v>
      </c>
      <c r="B80" t="s">
        <v>119</v>
      </c>
      <c r="C80">
        <v>70</v>
      </c>
      <c r="D80" t="s">
        <v>113</v>
      </c>
      <c r="E80" t="s">
        <v>11</v>
      </c>
      <c r="F80">
        <v>4</v>
      </c>
      <c r="G80" t="s">
        <v>14</v>
      </c>
    </row>
    <row r="81" spans="1:7" x14ac:dyDescent="0.25">
      <c r="A81">
        <v>7</v>
      </c>
      <c r="B81" t="s">
        <v>119</v>
      </c>
      <c r="C81">
        <v>80</v>
      </c>
      <c r="D81" t="s">
        <v>21</v>
      </c>
      <c r="E81" t="s">
        <v>11</v>
      </c>
      <c r="F81">
        <v>1</v>
      </c>
      <c r="G81" t="s">
        <v>14</v>
      </c>
    </row>
    <row r="82" spans="1:7" x14ac:dyDescent="0.25">
      <c r="A82">
        <v>7</v>
      </c>
      <c r="B82" t="s">
        <v>119</v>
      </c>
      <c r="C82">
        <v>90</v>
      </c>
      <c r="D82" t="s">
        <v>22</v>
      </c>
      <c r="E82" t="s">
        <v>11</v>
      </c>
      <c r="F82">
        <v>1</v>
      </c>
      <c r="G82" t="s">
        <v>14</v>
      </c>
    </row>
    <row r="83" spans="1:7" x14ac:dyDescent="0.25">
      <c r="A83">
        <v>7</v>
      </c>
      <c r="B83" t="s">
        <v>119</v>
      </c>
      <c r="C83">
        <v>100</v>
      </c>
      <c r="D83" t="s">
        <v>23</v>
      </c>
      <c r="E83" t="s">
        <v>11</v>
      </c>
      <c r="F83">
        <v>1</v>
      </c>
      <c r="G83" t="s">
        <v>14</v>
      </c>
    </row>
    <row r="84" spans="1:7" x14ac:dyDescent="0.25">
      <c r="A84">
        <v>7</v>
      </c>
      <c r="B84" t="s">
        <v>119</v>
      </c>
      <c r="C84">
        <v>110</v>
      </c>
      <c r="D84" t="s">
        <v>111</v>
      </c>
      <c r="E84" t="s">
        <v>13</v>
      </c>
      <c r="F84">
        <v>0.98599999999999999</v>
      </c>
      <c r="G84" t="s">
        <v>14</v>
      </c>
    </row>
    <row r="85" spans="1:7" x14ac:dyDescent="0.25">
      <c r="A85">
        <v>7</v>
      </c>
      <c r="B85" t="s">
        <v>119</v>
      </c>
      <c r="C85">
        <v>120</v>
      </c>
      <c r="D85" t="s">
        <v>159</v>
      </c>
      <c r="E85" t="s">
        <v>11</v>
      </c>
      <c r="F85">
        <v>1</v>
      </c>
      <c r="G85" t="s">
        <v>16</v>
      </c>
    </row>
    <row r="86" spans="1:7" x14ac:dyDescent="0.25">
      <c r="A86">
        <v>8</v>
      </c>
      <c r="B86" t="s">
        <v>120</v>
      </c>
      <c r="C86">
        <v>10</v>
      </c>
      <c r="D86" t="s">
        <v>270</v>
      </c>
      <c r="E86" t="s">
        <v>11</v>
      </c>
      <c r="F86">
        <v>1</v>
      </c>
      <c r="G86" t="s">
        <v>16</v>
      </c>
    </row>
    <row r="87" spans="1:7" x14ac:dyDescent="0.25">
      <c r="A87">
        <v>8</v>
      </c>
      <c r="B87" t="s">
        <v>120</v>
      </c>
      <c r="C87">
        <v>20</v>
      </c>
      <c r="D87" t="s">
        <v>109</v>
      </c>
      <c r="E87" t="s">
        <v>15</v>
      </c>
      <c r="F87">
        <v>1.778</v>
      </c>
      <c r="G87" t="s">
        <v>16</v>
      </c>
    </row>
    <row r="88" spans="1:7" x14ac:dyDescent="0.25">
      <c r="A88">
        <v>8</v>
      </c>
      <c r="B88" t="s">
        <v>120</v>
      </c>
      <c r="C88">
        <v>30</v>
      </c>
      <c r="D88" t="s">
        <v>110</v>
      </c>
      <c r="E88" t="s">
        <v>15</v>
      </c>
      <c r="F88">
        <v>1.778</v>
      </c>
      <c r="G88" t="s">
        <v>16</v>
      </c>
    </row>
    <row r="89" spans="1:7" x14ac:dyDescent="0.25">
      <c r="A89">
        <v>8</v>
      </c>
      <c r="B89" t="s">
        <v>120</v>
      </c>
      <c r="C89">
        <v>40</v>
      </c>
      <c r="D89" t="s">
        <v>105</v>
      </c>
      <c r="E89" t="s">
        <v>106</v>
      </c>
      <c r="F89">
        <v>0.48899999999999999</v>
      </c>
      <c r="G89" t="s">
        <v>14</v>
      </c>
    </row>
    <row r="90" spans="1:7" x14ac:dyDescent="0.25">
      <c r="A90">
        <v>8</v>
      </c>
      <c r="B90" t="s">
        <v>120</v>
      </c>
      <c r="C90">
        <v>50</v>
      </c>
      <c r="D90" t="s">
        <v>107</v>
      </c>
      <c r="E90" t="s">
        <v>15</v>
      </c>
      <c r="F90">
        <v>14.731999999999999</v>
      </c>
      <c r="G90" t="s">
        <v>14</v>
      </c>
    </row>
    <row r="91" spans="1:7" x14ac:dyDescent="0.25">
      <c r="A91">
        <v>8</v>
      </c>
      <c r="B91" t="s">
        <v>120</v>
      </c>
      <c r="C91">
        <v>60</v>
      </c>
      <c r="D91" t="s">
        <v>18</v>
      </c>
      <c r="E91" t="s">
        <v>15</v>
      </c>
      <c r="F91">
        <v>90.602000000000004</v>
      </c>
      <c r="G91" t="s">
        <v>14</v>
      </c>
    </row>
    <row r="92" spans="1:7" x14ac:dyDescent="0.25">
      <c r="A92">
        <v>8</v>
      </c>
      <c r="B92" t="s">
        <v>120</v>
      </c>
      <c r="C92">
        <v>70</v>
      </c>
      <c r="D92" t="s">
        <v>113</v>
      </c>
      <c r="E92" t="s">
        <v>11</v>
      </c>
      <c r="F92">
        <v>4</v>
      </c>
      <c r="G92" t="s">
        <v>14</v>
      </c>
    </row>
    <row r="93" spans="1:7" x14ac:dyDescent="0.25">
      <c r="A93">
        <v>8</v>
      </c>
      <c r="B93" t="s">
        <v>120</v>
      </c>
      <c r="C93">
        <v>80</v>
      </c>
      <c r="D93" t="s">
        <v>21</v>
      </c>
      <c r="E93" t="s">
        <v>11</v>
      </c>
      <c r="F93">
        <v>1</v>
      </c>
      <c r="G93" t="s">
        <v>14</v>
      </c>
    </row>
    <row r="94" spans="1:7" x14ac:dyDescent="0.25">
      <c r="A94">
        <v>8</v>
      </c>
      <c r="B94" t="s">
        <v>120</v>
      </c>
      <c r="C94">
        <v>90</v>
      </c>
      <c r="D94" t="s">
        <v>22</v>
      </c>
      <c r="E94" t="s">
        <v>11</v>
      </c>
      <c r="F94">
        <v>1</v>
      </c>
      <c r="G94" t="s">
        <v>14</v>
      </c>
    </row>
    <row r="95" spans="1:7" x14ac:dyDescent="0.25">
      <c r="A95">
        <v>8</v>
      </c>
      <c r="B95" t="s">
        <v>120</v>
      </c>
      <c r="C95">
        <v>100</v>
      </c>
      <c r="D95" t="s">
        <v>23</v>
      </c>
      <c r="E95" t="s">
        <v>11</v>
      </c>
      <c r="F95">
        <v>1</v>
      </c>
      <c r="G95" t="s">
        <v>14</v>
      </c>
    </row>
    <row r="96" spans="1:7" x14ac:dyDescent="0.25">
      <c r="A96">
        <v>8</v>
      </c>
      <c r="B96" t="s">
        <v>120</v>
      </c>
      <c r="C96">
        <v>110</v>
      </c>
      <c r="D96" t="s">
        <v>111</v>
      </c>
      <c r="E96" t="s">
        <v>13</v>
      </c>
      <c r="F96">
        <v>1.0669999999999999</v>
      </c>
      <c r="G96" t="s">
        <v>14</v>
      </c>
    </row>
    <row r="97" spans="1:7" x14ac:dyDescent="0.25">
      <c r="A97">
        <v>8</v>
      </c>
      <c r="B97" t="s">
        <v>120</v>
      </c>
      <c r="C97">
        <v>120</v>
      </c>
      <c r="D97" t="s">
        <v>160</v>
      </c>
      <c r="E97" t="s">
        <v>11</v>
      </c>
      <c r="F97">
        <v>1</v>
      </c>
      <c r="G97" t="s">
        <v>16</v>
      </c>
    </row>
    <row r="98" spans="1:7" x14ac:dyDescent="0.25">
      <c r="A98">
        <v>9</v>
      </c>
      <c r="B98" t="s">
        <v>121</v>
      </c>
      <c r="C98">
        <v>10</v>
      </c>
      <c r="D98" t="s">
        <v>271</v>
      </c>
      <c r="E98" t="s">
        <v>11</v>
      </c>
      <c r="F98">
        <v>1</v>
      </c>
      <c r="G98" t="s">
        <v>16</v>
      </c>
    </row>
    <row r="99" spans="1:7" x14ac:dyDescent="0.25">
      <c r="A99">
        <v>9</v>
      </c>
      <c r="B99" t="s">
        <v>121</v>
      </c>
      <c r="C99">
        <v>20</v>
      </c>
      <c r="D99" t="s">
        <v>109</v>
      </c>
      <c r="E99" t="s">
        <v>15</v>
      </c>
      <c r="F99">
        <v>0.86399999999999999</v>
      </c>
      <c r="G99" t="s">
        <v>16</v>
      </c>
    </row>
    <row r="100" spans="1:7" x14ac:dyDescent="0.25">
      <c r="A100">
        <v>9</v>
      </c>
      <c r="B100" t="s">
        <v>121</v>
      </c>
      <c r="C100">
        <v>30</v>
      </c>
      <c r="D100" t="s">
        <v>110</v>
      </c>
      <c r="E100" t="s">
        <v>15</v>
      </c>
      <c r="F100">
        <v>0.86399999999999999</v>
      </c>
      <c r="G100" t="s">
        <v>16</v>
      </c>
    </row>
    <row r="101" spans="1:7" x14ac:dyDescent="0.25">
      <c r="A101">
        <v>9</v>
      </c>
      <c r="B101" t="s">
        <v>121</v>
      </c>
      <c r="C101">
        <v>40</v>
      </c>
      <c r="D101" t="s">
        <v>105</v>
      </c>
      <c r="E101" t="s">
        <v>106</v>
      </c>
      <c r="F101">
        <v>0.24</v>
      </c>
      <c r="G101" t="s">
        <v>14</v>
      </c>
    </row>
    <row r="102" spans="1:7" x14ac:dyDescent="0.25">
      <c r="A102">
        <v>9</v>
      </c>
      <c r="B102" t="s">
        <v>121</v>
      </c>
      <c r="C102">
        <v>50</v>
      </c>
      <c r="D102" t="s">
        <v>107</v>
      </c>
      <c r="E102" t="s">
        <v>15</v>
      </c>
      <c r="F102">
        <v>11.379</v>
      </c>
      <c r="G102" t="s">
        <v>14</v>
      </c>
    </row>
    <row r="103" spans="1:7" x14ac:dyDescent="0.25">
      <c r="A103">
        <v>9</v>
      </c>
      <c r="B103" t="s">
        <v>121</v>
      </c>
      <c r="C103">
        <v>60</v>
      </c>
      <c r="D103" t="s">
        <v>18</v>
      </c>
      <c r="E103" t="s">
        <v>15</v>
      </c>
      <c r="F103">
        <v>69.981999999999999</v>
      </c>
      <c r="G103" t="s">
        <v>14</v>
      </c>
    </row>
    <row r="104" spans="1:7" x14ac:dyDescent="0.25">
      <c r="A104">
        <v>9</v>
      </c>
      <c r="B104" t="s">
        <v>121</v>
      </c>
      <c r="C104">
        <v>70</v>
      </c>
      <c r="D104" t="s">
        <v>113</v>
      </c>
      <c r="E104" t="s">
        <v>11</v>
      </c>
      <c r="F104">
        <v>4</v>
      </c>
      <c r="G104" t="s">
        <v>14</v>
      </c>
    </row>
    <row r="105" spans="1:7" x14ac:dyDescent="0.25">
      <c r="A105">
        <v>9</v>
      </c>
      <c r="B105" t="s">
        <v>121</v>
      </c>
      <c r="C105">
        <v>80</v>
      </c>
      <c r="D105" t="s">
        <v>21</v>
      </c>
      <c r="E105" t="s">
        <v>11</v>
      </c>
      <c r="F105">
        <v>1</v>
      </c>
      <c r="G105" t="s">
        <v>14</v>
      </c>
    </row>
    <row r="106" spans="1:7" x14ac:dyDescent="0.25">
      <c r="A106">
        <v>9</v>
      </c>
      <c r="B106" t="s">
        <v>121</v>
      </c>
      <c r="C106">
        <v>90</v>
      </c>
      <c r="D106" t="s">
        <v>22</v>
      </c>
      <c r="E106" t="s">
        <v>11</v>
      </c>
      <c r="F106">
        <v>1</v>
      </c>
      <c r="G106" t="s">
        <v>14</v>
      </c>
    </row>
    <row r="107" spans="1:7" x14ac:dyDescent="0.25">
      <c r="A107">
        <v>9</v>
      </c>
      <c r="B107" t="s">
        <v>121</v>
      </c>
      <c r="C107">
        <v>100</v>
      </c>
      <c r="D107" t="s">
        <v>23</v>
      </c>
      <c r="E107" t="s">
        <v>11</v>
      </c>
      <c r="F107">
        <v>1</v>
      </c>
      <c r="G107" t="s">
        <v>14</v>
      </c>
    </row>
    <row r="108" spans="1:7" x14ac:dyDescent="0.25">
      <c r="A108">
        <v>9</v>
      </c>
      <c r="B108" t="s">
        <v>121</v>
      </c>
      <c r="C108">
        <v>110</v>
      </c>
      <c r="D108" t="s">
        <v>111</v>
      </c>
      <c r="E108" t="s">
        <v>13</v>
      </c>
      <c r="F108">
        <v>0.58099999999999996</v>
      </c>
      <c r="G108" t="s">
        <v>14</v>
      </c>
    </row>
    <row r="109" spans="1:7" x14ac:dyDescent="0.25">
      <c r="A109">
        <v>9</v>
      </c>
      <c r="B109" t="s">
        <v>121</v>
      </c>
      <c r="C109">
        <v>120</v>
      </c>
      <c r="D109" t="s">
        <v>161</v>
      </c>
      <c r="E109" t="s">
        <v>11</v>
      </c>
      <c r="F109">
        <v>1</v>
      </c>
      <c r="G109" t="s">
        <v>16</v>
      </c>
    </row>
    <row r="110" spans="1:7" x14ac:dyDescent="0.25">
      <c r="A110">
        <v>10</v>
      </c>
      <c r="B110" t="s">
        <v>122</v>
      </c>
      <c r="C110">
        <v>10</v>
      </c>
      <c r="D110" t="s">
        <v>272</v>
      </c>
      <c r="E110" t="s">
        <v>11</v>
      </c>
      <c r="F110">
        <v>1</v>
      </c>
      <c r="G110" t="s">
        <v>16</v>
      </c>
    </row>
    <row r="111" spans="1:7" x14ac:dyDescent="0.25">
      <c r="A111">
        <v>10</v>
      </c>
      <c r="B111" t="s">
        <v>122</v>
      </c>
      <c r="C111">
        <v>20</v>
      </c>
      <c r="D111" t="s">
        <v>109</v>
      </c>
      <c r="E111" t="s">
        <v>15</v>
      </c>
      <c r="F111">
        <v>1.016</v>
      </c>
      <c r="G111" t="s">
        <v>16</v>
      </c>
    </row>
    <row r="112" spans="1:7" x14ac:dyDescent="0.25">
      <c r="A112">
        <v>10</v>
      </c>
      <c r="B112" t="s">
        <v>122</v>
      </c>
      <c r="C112">
        <v>30</v>
      </c>
      <c r="D112" t="s">
        <v>110</v>
      </c>
      <c r="E112" t="s">
        <v>15</v>
      </c>
      <c r="F112">
        <v>1.016</v>
      </c>
      <c r="G112" t="s">
        <v>16</v>
      </c>
    </row>
    <row r="113" spans="1:7" x14ac:dyDescent="0.25">
      <c r="A113">
        <v>10</v>
      </c>
      <c r="B113" t="s">
        <v>122</v>
      </c>
      <c r="C113">
        <v>40</v>
      </c>
      <c r="D113" t="s">
        <v>105</v>
      </c>
      <c r="E113" t="s">
        <v>106</v>
      </c>
      <c r="F113">
        <v>0.28499999999999998</v>
      </c>
      <c r="G113" t="s">
        <v>14</v>
      </c>
    </row>
    <row r="114" spans="1:7" x14ac:dyDescent="0.25">
      <c r="A114">
        <v>10</v>
      </c>
      <c r="B114" t="s">
        <v>122</v>
      </c>
      <c r="C114">
        <v>50</v>
      </c>
      <c r="D114" t="s">
        <v>107</v>
      </c>
      <c r="E114" t="s">
        <v>15</v>
      </c>
      <c r="F114">
        <v>11.989000000000001</v>
      </c>
      <c r="G114" t="s">
        <v>14</v>
      </c>
    </row>
    <row r="115" spans="1:7" x14ac:dyDescent="0.25">
      <c r="A115">
        <v>10</v>
      </c>
      <c r="B115" t="s">
        <v>122</v>
      </c>
      <c r="C115">
        <v>60</v>
      </c>
      <c r="D115" t="s">
        <v>18</v>
      </c>
      <c r="E115" t="s">
        <v>15</v>
      </c>
      <c r="F115">
        <v>73.730999999999995</v>
      </c>
      <c r="G115" t="s">
        <v>14</v>
      </c>
    </row>
    <row r="116" spans="1:7" x14ac:dyDescent="0.25">
      <c r="A116">
        <v>10</v>
      </c>
      <c r="B116" t="s">
        <v>122</v>
      </c>
      <c r="C116">
        <v>70</v>
      </c>
      <c r="D116" t="s">
        <v>113</v>
      </c>
      <c r="E116" t="s">
        <v>11</v>
      </c>
      <c r="F116">
        <v>4</v>
      </c>
      <c r="G116" t="s">
        <v>14</v>
      </c>
    </row>
    <row r="117" spans="1:7" x14ac:dyDescent="0.25">
      <c r="A117">
        <v>10</v>
      </c>
      <c r="B117" t="s">
        <v>122</v>
      </c>
      <c r="C117">
        <v>80</v>
      </c>
      <c r="D117" t="s">
        <v>21</v>
      </c>
      <c r="E117" t="s">
        <v>11</v>
      </c>
      <c r="F117">
        <v>1</v>
      </c>
      <c r="G117" t="s">
        <v>14</v>
      </c>
    </row>
    <row r="118" spans="1:7" x14ac:dyDescent="0.25">
      <c r="A118">
        <v>10</v>
      </c>
      <c r="B118" t="s">
        <v>122</v>
      </c>
      <c r="C118">
        <v>90</v>
      </c>
      <c r="D118" t="s">
        <v>22</v>
      </c>
      <c r="E118" t="s">
        <v>11</v>
      </c>
      <c r="F118">
        <v>1</v>
      </c>
      <c r="G118" t="s">
        <v>14</v>
      </c>
    </row>
    <row r="119" spans="1:7" x14ac:dyDescent="0.25">
      <c r="A119">
        <v>10</v>
      </c>
      <c r="B119" t="s">
        <v>122</v>
      </c>
      <c r="C119">
        <v>100</v>
      </c>
      <c r="D119" t="s">
        <v>23</v>
      </c>
      <c r="E119" t="s">
        <v>11</v>
      </c>
      <c r="F119">
        <v>1</v>
      </c>
      <c r="G119" t="s">
        <v>14</v>
      </c>
    </row>
    <row r="120" spans="1:7" x14ac:dyDescent="0.25">
      <c r="A120">
        <v>10</v>
      </c>
      <c r="B120" t="s">
        <v>122</v>
      </c>
      <c r="C120">
        <v>110</v>
      </c>
      <c r="D120" t="s">
        <v>111</v>
      </c>
      <c r="E120" t="s">
        <v>13</v>
      </c>
      <c r="F120">
        <v>0.66200000000000003</v>
      </c>
      <c r="G120" t="s">
        <v>14</v>
      </c>
    </row>
    <row r="121" spans="1:7" x14ac:dyDescent="0.25">
      <c r="A121">
        <v>10</v>
      </c>
      <c r="B121" t="s">
        <v>122</v>
      </c>
      <c r="C121">
        <v>120</v>
      </c>
      <c r="D121" t="s">
        <v>162</v>
      </c>
      <c r="E121" t="s">
        <v>11</v>
      </c>
      <c r="F121">
        <v>1</v>
      </c>
      <c r="G121" t="s">
        <v>16</v>
      </c>
    </row>
    <row r="122" spans="1:7" x14ac:dyDescent="0.25">
      <c r="A122">
        <v>11</v>
      </c>
      <c r="B122" t="s">
        <v>123</v>
      </c>
      <c r="C122">
        <v>10</v>
      </c>
      <c r="D122" t="s">
        <v>273</v>
      </c>
      <c r="E122" t="s">
        <v>11</v>
      </c>
      <c r="F122">
        <v>1</v>
      </c>
      <c r="G122" t="s">
        <v>16</v>
      </c>
    </row>
    <row r="123" spans="1:7" x14ac:dyDescent="0.25">
      <c r="A123">
        <v>11</v>
      </c>
      <c r="B123" t="s">
        <v>123</v>
      </c>
      <c r="C123">
        <v>20</v>
      </c>
      <c r="D123" t="s">
        <v>109</v>
      </c>
      <c r="E123" t="s">
        <v>15</v>
      </c>
      <c r="F123">
        <v>1.1679999999999999</v>
      </c>
      <c r="G123" t="s">
        <v>16</v>
      </c>
    </row>
    <row r="124" spans="1:7" x14ac:dyDescent="0.25">
      <c r="A124">
        <v>11</v>
      </c>
      <c r="B124" t="s">
        <v>123</v>
      </c>
      <c r="C124">
        <v>30</v>
      </c>
      <c r="D124" t="s">
        <v>110</v>
      </c>
      <c r="E124" t="s">
        <v>15</v>
      </c>
      <c r="F124">
        <v>1.1679999999999999</v>
      </c>
      <c r="G124" t="s">
        <v>16</v>
      </c>
    </row>
    <row r="125" spans="1:7" x14ac:dyDescent="0.25">
      <c r="A125">
        <v>11</v>
      </c>
      <c r="B125" t="s">
        <v>123</v>
      </c>
      <c r="C125">
        <v>40</v>
      </c>
      <c r="D125" t="s">
        <v>105</v>
      </c>
      <c r="E125" t="s">
        <v>106</v>
      </c>
      <c r="F125">
        <v>0.33</v>
      </c>
      <c r="G125" t="s">
        <v>14</v>
      </c>
    </row>
    <row r="126" spans="1:7" x14ac:dyDescent="0.25">
      <c r="A126">
        <v>11</v>
      </c>
      <c r="B126" t="s">
        <v>123</v>
      </c>
      <c r="C126">
        <v>50</v>
      </c>
      <c r="D126" t="s">
        <v>107</v>
      </c>
      <c r="E126" t="s">
        <v>15</v>
      </c>
      <c r="F126">
        <v>12.598000000000001</v>
      </c>
      <c r="G126" t="s">
        <v>14</v>
      </c>
    </row>
    <row r="127" spans="1:7" x14ac:dyDescent="0.25">
      <c r="A127">
        <v>11</v>
      </c>
      <c r="B127" t="s">
        <v>123</v>
      </c>
      <c r="C127">
        <v>60</v>
      </c>
      <c r="D127" t="s">
        <v>18</v>
      </c>
      <c r="E127" t="s">
        <v>15</v>
      </c>
      <c r="F127">
        <v>77.48</v>
      </c>
      <c r="G127" t="s">
        <v>14</v>
      </c>
    </row>
    <row r="128" spans="1:7" x14ac:dyDescent="0.25">
      <c r="A128">
        <v>11</v>
      </c>
      <c r="B128" t="s">
        <v>123</v>
      </c>
      <c r="C128">
        <v>70</v>
      </c>
      <c r="D128" t="s">
        <v>113</v>
      </c>
      <c r="E128" t="s">
        <v>11</v>
      </c>
      <c r="F128">
        <v>4</v>
      </c>
      <c r="G128" t="s">
        <v>14</v>
      </c>
    </row>
    <row r="129" spans="1:7" x14ac:dyDescent="0.25">
      <c r="A129">
        <v>11</v>
      </c>
      <c r="B129" t="s">
        <v>123</v>
      </c>
      <c r="C129">
        <v>80</v>
      </c>
      <c r="D129" t="s">
        <v>21</v>
      </c>
      <c r="E129" t="s">
        <v>11</v>
      </c>
      <c r="F129">
        <v>1</v>
      </c>
      <c r="G129" t="s">
        <v>14</v>
      </c>
    </row>
    <row r="130" spans="1:7" x14ac:dyDescent="0.25">
      <c r="A130">
        <v>11</v>
      </c>
      <c r="B130" t="s">
        <v>123</v>
      </c>
      <c r="C130">
        <v>90</v>
      </c>
      <c r="D130" t="s">
        <v>22</v>
      </c>
      <c r="E130" t="s">
        <v>11</v>
      </c>
      <c r="F130">
        <v>1</v>
      </c>
      <c r="G130" t="s">
        <v>14</v>
      </c>
    </row>
    <row r="131" spans="1:7" x14ac:dyDescent="0.25">
      <c r="A131">
        <v>11</v>
      </c>
      <c r="B131" t="s">
        <v>123</v>
      </c>
      <c r="C131">
        <v>100</v>
      </c>
      <c r="D131" t="s">
        <v>23</v>
      </c>
      <c r="E131" t="s">
        <v>11</v>
      </c>
      <c r="F131">
        <v>1</v>
      </c>
      <c r="G131" t="s">
        <v>14</v>
      </c>
    </row>
    <row r="132" spans="1:7" x14ac:dyDescent="0.25">
      <c r="A132">
        <v>11</v>
      </c>
      <c r="B132" t="s">
        <v>123</v>
      </c>
      <c r="C132">
        <v>110</v>
      </c>
      <c r="D132" t="s">
        <v>111</v>
      </c>
      <c r="E132" t="s">
        <v>13</v>
      </c>
      <c r="F132">
        <v>0.74299999999999999</v>
      </c>
      <c r="G132" t="s">
        <v>14</v>
      </c>
    </row>
    <row r="133" spans="1:7" x14ac:dyDescent="0.25">
      <c r="A133">
        <v>11</v>
      </c>
      <c r="B133" t="s">
        <v>123</v>
      </c>
      <c r="C133">
        <v>120</v>
      </c>
      <c r="D133" t="s">
        <v>163</v>
      </c>
      <c r="E133" t="s">
        <v>11</v>
      </c>
      <c r="F133">
        <v>1</v>
      </c>
      <c r="G133" t="s">
        <v>16</v>
      </c>
    </row>
    <row r="134" spans="1:7" x14ac:dyDescent="0.25">
      <c r="A134">
        <v>12</v>
      </c>
      <c r="B134" t="s">
        <v>124</v>
      </c>
      <c r="C134">
        <v>10</v>
      </c>
      <c r="D134" t="s">
        <v>274</v>
      </c>
      <c r="E134" t="s">
        <v>11</v>
      </c>
      <c r="F134">
        <v>1</v>
      </c>
      <c r="G134" t="s">
        <v>16</v>
      </c>
    </row>
    <row r="135" spans="1:7" x14ac:dyDescent="0.25">
      <c r="A135">
        <v>12</v>
      </c>
      <c r="B135" t="s">
        <v>124</v>
      </c>
      <c r="C135">
        <v>20</v>
      </c>
      <c r="D135" t="s">
        <v>109</v>
      </c>
      <c r="E135" t="s">
        <v>15</v>
      </c>
      <c r="F135">
        <v>1.321</v>
      </c>
      <c r="G135" t="s">
        <v>16</v>
      </c>
    </row>
    <row r="136" spans="1:7" x14ac:dyDescent="0.25">
      <c r="A136">
        <v>12</v>
      </c>
      <c r="B136" t="s">
        <v>124</v>
      </c>
      <c r="C136">
        <v>30</v>
      </c>
      <c r="D136" t="s">
        <v>110</v>
      </c>
      <c r="E136" t="s">
        <v>15</v>
      </c>
      <c r="F136">
        <v>1.321</v>
      </c>
      <c r="G136" t="s">
        <v>16</v>
      </c>
    </row>
    <row r="137" spans="1:7" x14ac:dyDescent="0.25">
      <c r="A137">
        <v>12</v>
      </c>
      <c r="B137" t="s">
        <v>124</v>
      </c>
      <c r="C137">
        <v>40</v>
      </c>
      <c r="D137" t="s">
        <v>105</v>
      </c>
      <c r="E137" t="s">
        <v>106</v>
      </c>
      <c r="F137">
        <v>0.375</v>
      </c>
      <c r="G137" t="s">
        <v>14</v>
      </c>
    </row>
    <row r="138" spans="1:7" x14ac:dyDescent="0.25">
      <c r="A138">
        <v>12</v>
      </c>
      <c r="B138" t="s">
        <v>124</v>
      </c>
      <c r="C138">
        <v>50</v>
      </c>
      <c r="D138" t="s">
        <v>107</v>
      </c>
      <c r="E138" t="s">
        <v>15</v>
      </c>
      <c r="F138">
        <v>13.208</v>
      </c>
      <c r="G138" t="s">
        <v>14</v>
      </c>
    </row>
    <row r="139" spans="1:7" x14ac:dyDescent="0.25">
      <c r="A139">
        <v>12</v>
      </c>
      <c r="B139" t="s">
        <v>124</v>
      </c>
      <c r="C139">
        <v>60</v>
      </c>
      <c r="D139" t="s">
        <v>18</v>
      </c>
      <c r="E139" t="s">
        <v>15</v>
      </c>
      <c r="F139">
        <v>81.228999999999999</v>
      </c>
      <c r="G139" t="s">
        <v>14</v>
      </c>
    </row>
    <row r="140" spans="1:7" x14ac:dyDescent="0.25">
      <c r="A140">
        <v>12</v>
      </c>
      <c r="B140" t="s">
        <v>124</v>
      </c>
      <c r="C140">
        <v>70</v>
      </c>
      <c r="D140" t="s">
        <v>113</v>
      </c>
      <c r="E140" t="s">
        <v>11</v>
      </c>
      <c r="F140">
        <v>4</v>
      </c>
      <c r="G140" t="s">
        <v>14</v>
      </c>
    </row>
    <row r="141" spans="1:7" x14ac:dyDescent="0.25">
      <c r="A141">
        <v>12</v>
      </c>
      <c r="B141" t="s">
        <v>124</v>
      </c>
      <c r="C141">
        <v>80</v>
      </c>
      <c r="D141" t="s">
        <v>21</v>
      </c>
      <c r="E141" t="s">
        <v>11</v>
      </c>
      <c r="F141">
        <v>1</v>
      </c>
      <c r="G141" t="s">
        <v>14</v>
      </c>
    </row>
    <row r="142" spans="1:7" x14ac:dyDescent="0.25">
      <c r="A142">
        <v>12</v>
      </c>
      <c r="B142" t="s">
        <v>124</v>
      </c>
      <c r="C142">
        <v>90</v>
      </c>
      <c r="D142" t="s">
        <v>22</v>
      </c>
      <c r="E142" t="s">
        <v>11</v>
      </c>
      <c r="F142">
        <v>1</v>
      </c>
      <c r="G142" t="s">
        <v>14</v>
      </c>
    </row>
    <row r="143" spans="1:7" x14ac:dyDescent="0.25">
      <c r="A143">
        <v>12</v>
      </c>
      <c r="B143" t="s">
        <v>124</v>
      </c>
      <c r="C143">
        <v>100</v>
      </c>
      <c r="D143" t="s">
        <v>23</v>
      </c>
      <c r="E143" t="s">
        <v>11</v>
      </c>
      <c r="F143">
        <v>1</v>
      </c>
      <c r="G143" t="s">
        <v>14</v>
      </c>
    </row>
    <row r="144" spans="1:7" x14ac:dyDescent="0.25">
      <c r="A144">
        <v>12</v>
      </c>
      <c r="B144" t="s">
        <v>124</v>
      </c>
      <c r="C144">
        <v>110</v>
      </c>
      <c r="D144" t="s">
        <v>111</v>
      </c>
      <c r="E144" t="s">
        <v>13</v>
      </c>
      <c r="F144">
        <v>0.82399999999999995</v>
      </c>
      <c r="G144" t="s">
        <v>14</v>
      </c>
    </row>
    <row r="145" spans="1:7" x14ac:dyDescent="0.25">
      <c r="A145">
        <v>12</v>
      </c>
      <c r="B145" t="s">
        <v>124</v>
      </c>
      <c r="C145">
        <v>120</v>
      </c>
      <c r="D145" t="s">
        <v>164</v>
      </c>
      <c r="E145" t="s">
        <v>11</v>
      </c>
      <c r="F145">
        <v>1</v>
      </c>
      <c r="G145" t="s">
        <v>16</v>
      </c>
    </row>
    <row r="146" spans="1:7" x14ac:dyDescent="0.25">
      <c r="A146">
        <v>13</v>
      </c>
      <c r="B146" t="s">
        <v>125</v>
      </c>
      <c r="C146">
        <v>10</v>
      </c>
      <c r="D146" t="s">
        <v>275</v>
      </c>
      <c r="E146" t="s">
        <v>11</v>
      </c>
      <c r="F146">
        <v>1</v>
      </c>
      <c r="G146" t="s">
        <v>16</v>
      </c>
    </row>
    <row r="147" spans="1:7" x14ac:dyDescent="0.25">
      <c r="A147">
        <v>13</v>
      </c>
      <c r="B147" t="s">
        <v>125</v>
      </c>
      <c r="C147">
        <v>20</v>
      </c>
      <c r="D147" t="s">
        <v>109</v>
      </c>
      <c r="E147" t="s">
        <v>15</v>
      </c>
      <c r="F147">
        <v>1.397</v>
      </c>
      <c r="G147" t="s">
        <v>16</v>
      </c>
    </row>
    <row r="148" spans="1:7" x14ac:dyDescent="0.25">
      <c r="A148">
        <v>13</v>
      </c>
      <c r="B148" t="s">
        <v>125</v>
      </c>
      <c r="C148">
        <v>30</v>
      </c>
      <c r="D148" t="s">
        <v>110</v>
      </c>
      <c r="E148" t="s">
        <v>15</v>
      </c>
      <c r="F148">
        <v>1.397</v>
      </c>
      <c r="G148" t="s">
        <v>16</v>
      </c>
    </row>
    <row r="149" spans="1:7" x14ac:dyDescent="0.25">
      <c r="A149">
        <v>13</v>
      </c>
      <c r="B149" t="s">
        <v>125</v>
      </c>
      <c r="C149">
        <v>40</v>
      </c>
      <c r="D149" t="s">
        <v>105</v>
      </c>
      <c r="E149" t="s">
        <v>106</v>
      </c>
      <c r="F149">
        <v>0.39700000000000002</v>
      </c>
      <c r="G149" t="s">
        <v>14</v>
      </c>
    </row>
    <row r="150" spans="1:7" x14ac:dyDescent="0.25">
      <c r="A150">
        <v>13</v>
      </c>
      <c r="B150" t="s">
        <v>125</v>
      </c>
      <c r="C150">
        <v>50</v>
      </c>
      <c r="D150" t="s">
        <v>107</v>
      </c>
      <c r="E150" t="s">
        <v>15</v>
      </c>
      <c r="F150">
        <v>13.513</v>
      </c>
      <c r="G150" t="s">
        <v>14</v>
      </c>
    </row>
    <row r="151" spans="1:7" x14ac:dyDescent="0.25">
      <c r="A151">
        <v>13</v>
      </c>
      <c r="B151" t="s">
        <v>125</v>
      </c>
      <c r="C151">
        <v>60</v>
      </c>
      <c r="D151" t="s">
        <v>18</v>
      </c>
      <c r="E151" t="s">
        <v>15</v>
      </c>
      <c r="F151">
        <v>83.103999999999999</v>
      </c>
      <c r="G151" t="s">
        <v>14</v>
      </c>
    </row>
    <row r="152" spans="1:7" x14ac:dyDescent="0.25">
      <c r="A152">
        <v>13</v>
      </c>
      <c r="B152" t="s">
        <v>125</v>
      </c>
      <c r="C152">
        <v>70</v>
      </c>
      <c r="D152" t="s">
        <v>113</v>
      </c>
      <c r="E152" t="s">
        <v>11</v>
      </c>
      <c r="F152">
        <v>4</v>
      </c>
      <c r="G152" t="s">
        <v>14</v>
      </c>
    </row>
    <row r="153" spans="1:7" x14ac:dyDescent="0.25">
      <c r="A153">
        <v>13</v>
      </c>
      <c r="B153" t="s">
        <v>125</v>
      </c>
      <c r="C153">
        <v>80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13</v>
      </c>
      <c r="B154" t="s">
        <v>125</v>
      </c>
      <c r="C154">
        <v>90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13</v>
      </c>
      <c r="B155" t="s">
        <v>125</v>
      </c>
      <c r="C155">
        <v>100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13</v>
      </c>
      <c r="B156" t="s">
        <v>125</v>
      </c>
      <c r="C156">
        <v>110</v>
      </c>
      <c r="D156" t="s">
        <v>111</v>
      </c>
      <c r="E156" t="s">
        <v>13</v>
      </c>
      <c r="F156">
        <v>0.86499999999999999</v>
      </c>
      <c r="G156" t="s">
        <v>14</v>
      </c>
    </row>
    <row r="157" spans="1:7" x14ac:dyDescent="0.25">
      <c r="A157">
        <v>13</v>
      </c>
      <c r="B157" t="s">
        <v>125</v>
      </c>
      <c r="C157">
        <v>120</v>
      </c>
      <c r="D157" t="s">
        <v>165</v>
      </c>
      <c r="E157" t="s">
        <v>11</v>
      </c>
      <c r="F157">
        <v>1</v>
      </c>
      <c r="G157" t="s">
        <v>16</v>
      </c>
    </row>
    <row r="158" spans="1:7" x14ac:dyDescent="0.25">
      <c r="A158">
        <v>14</v>
      </c>
      <c r="B158" t="s">
        <v>126</v>
      </c>
      <c r="C158">
        <v>10</v>
      </c>
      <c r="D158" t="s">
        <v>276</v>
      </c>
      <c r="E158" t="s">
        <v>11</v>
      </c>
      <c r="F158">
        <v>1</v>
      </c>
      <c r="G158" t="s">
        <v>16</v>
      </c>
    </row>
    <row r="159" spans="1:7" x14ac:dyDescent="0.25">
      <c r="A159">
        <v>14</v>
      </c>
      <c r="B159" t="s">
        <v>126</v>
      </c>
      <c r="C159">
        <v>20</v>
      </c>
      <c r="D159" t="s">
        <v>109</v>
      </c>
      <c r="E159" t="s">
        <v>15</v>
      </c>
      <c r="F159">
        <v>1.4730000000000001</v>
      </c>
      <c r="G159" t="s">
        <v>16</v>
      </c>
    </row>
    <row r="160" spans="1:7" x14ac:dyDescent="0.25">
      <c r="A160">
        <v>14</v>
      </c>
      <c r="B160" t="s">
        <v>126</v>
      </c>
      <c r="C160">
        <v>30</v>
      </c>
      <c r="D160" t="s">
        <v>110</v>
      </c>
      <c r="E160" t="s">
        <v>15</v>
      </c>
      <c r="F160">
        <v>1.4730000000000001</v>
      </c>
      <c r="G160" t="s">
        <v>16</v>
      </c>
    </row>
    <row r="161" spans="1:7" x14ac:dyDescent="0.25">
      <c r="A161">
        <v>14</v>
      </c>
      <c r="B161" t="s">
        <v>126</v>
      </c>
      <c r="C161">
        <v>40</v>
      </c>
      <c r="D161" t="s">
        <v>105</v>
      </c>
      <c r="E161" t="s">
        <v>106</v>
      </c>
      <c r="F161">
        <v>0.42</v>
      </c>
      <c r="G161" t="s">
        <v>14</v>
      </c>
    </row>
    <row r="162" spans="1:7" x14ac:dyDescent="0.25">
      <c r="A162">
        <v>14</v>
      </c>
      <c r="B162" t="s">
        <v>126</v>
      </c>
      <c r="C162">
        <v>50</v>
      </c>
      <c r="D162" t="s">
        <v>107</v>
      </c>
      <c r="E162" t="s">
        <v>15</v>
      </c>
      <c r="F162">
        <v>13.818</v>
      </c>
      <c r="G162" t="s">
        <v>14</v>
      </c>
    </row>
    <row r="163" spans="1:7" x14ac:dyDescent="0.25">
      <c r="A163">
        <v>14</v>
      </c>
      <c r="B163" t="s">
        <v>126</v>
      </c>
      <c r="C163">
        <v>60</v>
      </c>
      <c r="D163" t="s">
        <v>18</v>
      </c>
      <c r="E163" t="s">
        <v>15</v>
      </c>
      <c r="F163">
        <v>84.977999999999994</v>
      </c>
      <c r="G163" t="s">
        <v>14</v>
      </c>
    </row>
    <row r="164" spans="1:7" x14ac:dyDescent="0.25">
      <c r="A164">
        <v>14</v>
      </c>
      <c r="B164" t="s">
        <v>126</v>
      </c>
      <c r="C164">
        <v>70</v>
      </c>
      <c r="D164" t="s">
        <v>113</v>
      </c>
      <c r="E164" t="s">
        <v>11</v>
      </c>
      <c r="F164">
        <v>4</v>
      </c>
      <c r="G164" t="s">
        <v>14</v>
      </c>
    </row>
    <row r="165" spans="1:7" x14ac:dyDescent="0.25">
      <c r="A165">
        <v>14</v>
      </c>
      <c r="B165" t="s">
        <v>126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14</v>
      </c>
      <c r="B166" t="s">
        <v>126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14</v>
      </c>
      <c r="B167" t="s">
        <v>126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14</v>
      </c>
      <c r="B168" t="s">
        <v>126</v>
      </c>
      <c r="C168">
        <v>110</v>
      </c>
      <c r="D168" t="s">
        <v>111</v>
      </c>
      <c r="E168" t="s">
        <v>13</v>
      </c>
      <c r="F168">
        <v>0.90500000000000003</v>
      </c>
      <c r="G168" t="s">
        <v>14</v>
      </c>
    </row>
    <row r="169" spans="1:7" x14ac:dyDescent="0.25">
      <c r="A169">
        <v>14</v>
      </c>
      <c r="B169" t="s">
        <v>126</v>
      </c>
      <c r="C169">
        <v>120</v>
      </c>
      <c r="D169" t="s">
        <v>166</v>
      </c>
      <c r="E169" t="s">
        <v>11</v>
      </c>
      <c r="F169">
        <v>1</v>
      </c>
      <c r="G169" t="s">
        <v>16</v>
      </c>
    </row>
    <row r="170" spans="1:7" x14ac:dyDescent="0.25">
      <c r="A170">
        <v>15</v>
      </c>
      <c r="B170" t="s">
        <v>127</v>
      </c>
      <c r="C170">
        <v>10</v>
      </c>
      <c r="D170" t="s">
        <v>277</v>
      </c>
      <c r="E170" t="s">
        <v>11</v>
      </c>
      <c r="F170">
        <v>1</v>
      </c>
      <c r="G170" t="s">
        <v>16</v>
      </c>
    </row>
    <row r="171" spans="1:7" x14ac:dyDescent="0.25">
      <c r="A171">
        <v>15</v>
      </c>
      <c r="B171" t="s">
        <v>127</v>
      </c>
      <c r="C171">
        <v>20</v>
      </c>
      <c r="D171" t="s">
        <v>109</v>
      </c>
      <c r="E171" t="s">
        <v>15</v>
      </c>
      <c r="F171">
        <v>1.6259999999999999</v>
      </c>
      <c r="G171" t="s">
        <v>16</v>
      </c>
    </row>
    <row r="172" spans="1:7" x14ac:dyDescent="0.25">
      <c r="A172">
        <v>15</v>
      </c>
      <c r="B172" t="s">
        <v>127</v>
      </c>
      <c r="C172">
        <v>30</v>
      </c>
      <c r="D172" t="s">
        <v>110</v>
      </c>
      <c r="E172" t="s">
        <v>15</v>
      </c>
      <c r="F172">
        <v>1.6259999999999999</v>
      </c>
      <c r="G172" t="s">
        <v>16</v>
      </c>
    </row>
    <row r="173" spans="1:7" x14ac:dyDescent="0.25">
      <c r="A173">
        <v>15</v>
      </c>
      <c r="B173" t="s">
        <v>127</v>
      </c>
      <c r="C173">
        <v>40</v>
      </c>
      <c r="D173" t="s">
        <v>105</v>
      </c>
      <c r="E173" t="s">
        <v>106</v>
      </c>
      <c r="F173">
        <v>0.46500000000000002</v>
      </c>
      <c r="G173" t="s">
        <v>14</v>
      </c>
    </row>
    <row r="174" spans="1:7" x14ac:dyDescent="0.25">
      <c r="A174">
        <v>15</v>
      </c>
      <c r="B174" t="s">
        <v>127</v>
      </c>
      <c r="C174">
        <v>50</v>
      </c>
      <c r="D174" t="s">
        <v>107</v>
      </c>
      <c r="E174" t="s">
        <v>15</v>
      </c>
      <c r="F174">
        <v>14.427</v>
      </c>
      <c r="G174" t="s">
        <v>14</v>
      </c>
    </row>
    <row r="175" spans="1:7" x14ac:dyDescent="0.25">
      <c r="A175">
        <v>15</v>
      </c>
      <c r="B175" t="s">
        <v>127</v>
      </c>
      <c r="C175">
        <v>60</v>
      </c>
      <c r="D175" t="s">
        <v>18</v>
      </c>
      <c r="E175" t="s">
        <v>15</v>
      </c>
      <c r="F175">
        <v>88.727000000000004</v>
      </c>
      <c r="G175" t="s">
        <v>14</v>
      </c>
    </row>
    <row r="176" spans="1:7" x14ac:dyDescent="0.25">
      <c r="A176">
        <v>15</v>
      </c>
      <c r="B176" t="s">
        <v>127</v>
      </c>
      <c r="C176">
        <v>70</v>
      </c>
      <c r="D176" t="s">
        <v>113</v>
      </c>
      <c r="E176" t="s">
        <v>11</v>
      </c>
      <c r="F176">
        <v>4</v>
      </c>
      <c r="G176" t="s">
        <v>14</v>
      </c>
    </row>
    <row r="177" spans="1:7" x14ac:dyDescent="0.25">
      <c r="A177">
        <v>15</v>
      </c>
      <c r="B177" t="s">
        <v>127</v>
      </c>
      <c r="C177">
        <v>80</v>
      </c>
      <c r="D177" t="s">
        <v>21</v>
      </c>
      <c r="E177" t="s">
        <v>11</v>
      </c>
      <c r="F177">
        <v>1</v>
      </c>
      <c r="G177" t="s">
        <v>14</v>
      </c>
    </row>
    <row r="178" spans="1:7" x14ac:dyDescent="0.25">
      <c r="A178">
        <v>15</v>
      </c>
      <c r="B178" t="s">
        <v>127</v>
      </c>
      <c r="C178">
        <v>90</v>
      </c>
      <c r="D178" t="s">
        <v>22</v>
      </c>
      <c r="E178" t="s">
        <v>11</v>
      </c>
      <c r="F178">
        <v>1</v>
      </c>
      <c r="G178" t="s">
        <v>14</v>
      </c>
    </row>
    <row r="179" spans="1:7" x14ac:dyDescent="0.25">
      <c r="A179">
        <v>15</v>
      </c>
      <c r="B179" t="s">
        <v>127</v>
      </c>
      <c r="C179">
        <v>100</v>
      </c>
      <c r="D179" t="s">
        <v>23</v>
      </c>
      <c r="E179" t="s">
        <v>11</v>
      </c>
      <c r="F179">
        <v>1</v>
      </c>
      <c r="G179" t="s">
        <v>14</v>
      </c>
    </row>
    <row r="180" spans="1:7" x14ac:dyDescent="0.25">
      <c r="A180">
        <v>15</v>
      </c>
      <c r="B180" t="s">
        <v>127</v>
      </c>
      <c r="C180">
        <v>110</v>
      </c>
      <c r="D180" t="s">
        <v>111</v>
      </c>
      <c r="E180" t="s">
        <v>13</v>
      </c>
      <c r="F180">
        <v>0.98599999999999999</v>
      </c>
      <c r="G180" t="s">
        <v>14</v>
      </c>
    </row>
    <row r="181" spans="1:7" x14ac:dyDescent="0.25">
      <c r="A181">
        <v>15</v>
      </c>
      <c r="B181" t="s">
        <v>127</v>
      </c>
      <c r="C181">
        <v>120</v>
      </c>
      <c r="D181" t="s">
        <v>167</v>
      </c>
      <c r="E181" t="s">
        <v>11</v>
      </c>
      <c r="F181">
        <v>1</v>
      </c>
      <c r="G181" t="s">
        <v>16</v>
      </c>
    </row>
    <row r="182" spans="1:7" x14ac:dyDescent="0.25">
      <c r="A182">
        <v>16</v>
      </c>
      <c r="B182" t="s">
        <v>128</v>
      </c>
      <c r="C182">
        <v>10</v>
      </c>
      <c r="D182" t="s">
        <v>278</v>
      </c>
      <c r="E182" t="s">
        <v>11</v>
      </c>
      <c r="F182">
        <v>1</v>
      </c>
      <c r="G182" t="s">
        <v>16</v>
      </c>
    </row>
    <row r="183" spans="1:7" x14ac:dyDescent="0.25">
      <c r="A183">
        <v>16</v>
      </c>
      <c r="B183" t="s">
        <v>128</v>
      </c>
      <c r="C183">
        <v>20</v>
      </c>
      <c r="D183" t="s">
        <v>109</v>
      </c>
      <c r="E183" t="s">
        <v>15</v>
      </c>
      <c r="F183">
        <v>1.778</v>
      </c>
      <c r="G183" t="s">
        <v>16</v>
      </c>
    </row>
    <row r="184" spans="1:7" x14ac:dyDescent="0.25">
      <c r="A184">
        <v>16</v>
      </c>
      <c r="B184" t="s">
        <v>128</v>
      </c>
      <c r="C184">
        <v>30</v>
      </c>
      <c r="D184" t="s">
        <v>110</v>
      </c>
      <c r="E184" t="s">
        <v>15</v>
      </c>
      <c r="F184">
        <v>1.778</v>
      </c>
      <c r="G184" t="s">
        <v>16</v>
      </c>
    </row>
    <row r="185" spans="1:7" x14ac:dyDescent="0.25">
      <c r="A185">
        <v>16</v>
      </c>
      <c r="B185" t="s">
        <v>128</v>
      </c>
      <c r="C185">
        <v>40</v>
      </c>
      <c r="D185" t="s">
        <v>105</v>
      </c>
      <c r="E185" t="s">
        <v>106</v>
      </c>
      <c r="F185">
        <v>0.50900000000000001</v>
      </c>
      <c r="G185" t="s">
        <v>14</v>
      </c>
    </row>
    <row r="186" spans="1:7" x14ac:dyDescent="0.25">
      <c r="A186">
        <v>16</v>
      </c>
      <c r="B186" t="s">
        <v>128</v>
      </c>
      <c r="C186">
        <v>50</v>
      </c>
      <c r="D186" t="s">
        <v>107</v>
      </c>
      <c r="E186" t="s">
        <v>15</v>
      </c>
      <c r="F186">
        <v>15.037000000000001</v>
      </c>
      <c r="G186" t="s">
        <v>14</v>
      </c>
    </row>
    <row r="187" spans="1:7" x14ac:dyDescent="0.25">
      <c r="A187">
        <v>16</v>
      </c>
      <c r="B187" t="s">
        <v>128</v>
      </c>
      <c r="C187">
        <v>60</v>
      </c>
      <c r="D187" t="s">
        <v>18</v>
      </c>
      <c r="E187" t="s">
        <v>15</v>
      </c>
      <c r="F187">
        <v>92.475999999999999</v>
      </c>
      <c r="G187" t="s">
        <v>14</v>
      </c>
    </row>
    <row r="188" spans="1:7" x14ac:dyDescent="0.25">
      <c r="A188">
        <v>16</v>
      </c>
      <c r="B188" t="s">
        <v>128</v>
      </c>
      <c r="C188">
        <v>70</v>
      </c>
      <c r="D188" t="s">
        <v>113</v>
      </c>
      <c r="E188" t="s">
        <v>11</v>
      </c>
      <c r="F188">
        <v>4</v>
      </c>
      <c r="G188" t="s">
        <v>14</v>
      </c>
    </row>
    <row r="189" spans="1:7" x14ac:dyDescent="0.25">
      <c r="A189">
        <v>16</v>
      </c>
      <c r="B189" t="s">
        <v>128</v>
      </c>
      <c r="C189">
        <v>80</v>
      </c>
      <c r="D189" t="s">
        <v>21</v>
      </c>
      <c r="E189" t="s">
        <v>11</v>
      </c>
      <c r="F189">
        <v>1</v>
      </c>
      <c r="G189" t="s">
        <v>14</v>
      </c>
    </row>
    <row r="190" spans="1:7" x14ac:dyDescent="0.25">
      <c r="A190">
        <v>16</v>
      </c>
      <c r="B190" t="s">
        <v>128</v>
      </c>
      <c r="C190">
        <v>90</v>
      </c>
      <c r="D190" t="s">
        <v>22</v>
      </c>
      <c r="E190" t="s">
        <v>11</v>
      </c>
      <c r="F190">
        <v>1</v>
      </c>
      <c r="G190" t="s">
        <v>14</v>
      </c>
    </row>
    <row r="191" spans="1:7" x14ac:dyDescent="0.25">
      <c r="A191">
        <v>16</v>
      </c>
      <c r="B191" t="s">
        <v>128</v>
      </c>
      <c r="C191">
        <v>100</v>
      </c>
      <c r="D191" t="s">
        <v>23</v>
      </c>
      <c r="E191" t="s">
        <v>11</v>
      </c>
      <c r="F191">
        <v>1</v>
      </c>
      <c r="G191" t="s">
        <v>14</v>
      </c>
    </row>
    <row r="192" spans="1:7" x14ac:dyDescent="0.25">
      <c r="A192">
        <v>16</v>
      </c>
      <c r="B192" t="s">
        <v>128</v>
      </c>
      <c r="C192">
        <v>110</v>
      </c>
      <c r="D192" t="s">
        <v>111</v>
      </c>
      <c r="E192" t="s">
        <v>13</v>
      </c>
      <c r="F192">
        <v>1.0669999999999999</v>
      </c>
      <c r="G192" t="s">
        <v>14</v>
      </c>
    </row>
    <row r="193" spans="1:7" x14ac:dyDescent="0.25">
      <c r="A193">
        <v>16</v>
      </c>
      <c r="B193" t="s">
        <v>128</v>
      </c>
      <c r="C193">
        <v>120</v>
      </c>
      <c r="D193" t="s">
        <v>168</v>
      </c>
      <c r="E193" t="s">
        <v>11</v>
      </c>
      <c r="F193">
        <v>1</v>
      </c>
      <c r="G193" t="s">
        <v>16</v>
      </c>
    </row>
    <row r="194" spans="1:7" x14ac:dyDescent="0.25">
      <c r="A194">
        <v>17</v>
      </c>
      <c r="B194" t="s">
        <v>129</v>
      </c>
      <c r="C194">
        <v>10</v>
      </c>
      <c r="D194" t="s">
        <v>279</v>
      </c>
      <c r="E194" t="s">
        <v>11</v>
      </c>
      <c r="F194">
        <v>1</v>
      </c>
      <c r="G194" t="s">
        <v>16</v>
      </c>
    </row>
    <row r="195" spans="1:7" x14ac:dyDescent="0.25">
      <c r="A195">
        <v>17</v>
      </c>
      <c r="B195" t="s">
        <v>129</v>
      </c>
      <c r="C195">
        <v>20</v>
      </c>
      <c r="D195" t="s">
        <v>109</v>
      </c>
      <c r="E195" t="s">
        <v>15</v>
      </c>
      <c r="F195">
        <v>0.86399999999999999</v>
      </c>
      <c r="G195" t="s">
        <v>16</v>
      </c>
    </row>
    <row r="196" spans="1:7" x14ac:dyDescent="0.25">
      <c r="A196">
        <v>17</v>
      </c>
      <c r="B196" t="s">
        <v>129</v>
      </c>
      <c r="C196">
        <v>30</v>
      </c>
      <c r="D196" t="s">
        <v>110</v>
      </c>
      <c r="E196" t="s">
        <v>15</v>
      </c>
      <c r="F196">
        <v>0.86399999999999999</v>
      </c>
      <c r="G196" t="s">
        <v>16</v>
      </c>
    </row>
    <row r="197" spans="1:7" x14ac:dyDescent="0.25">
      <c r="A197">
        <v>17</v>
      </c>
      <c r="B197" t="s">
        <v>129</v>
      </c>
      <c r="C197">
        <v>40</v>
      </c>
      <c r="D197" t="s">
        <v>105</v>
      </c>
      <c r="E197" t="s">
        <v>106</v>
      </c>
      <c r="F197">
        <v>0.249</v>
      </c>
      <c r="G197" t="s">
        <v>14</v>
      </c>
    </row>
    <row r="198" spans="1:7" x14ac:dyDescent="0.25">
      <c r="A198">
        <v>17</v>
      </c>
      <c r="B198" t="s">
        <v>129</v>
      </c>
      <c r="C198">
        <v>50</v>
      </c>
      <c r="D198" t="s">
        <v>107</v>
      </c>
      <c r="E198" t="s">
        <v>15</v>
      </c>
      <c r="F198">
        <v>11.683999999999999</v>
      </c>
      <c r="G198" t="s">
        <v>14</v>
      </c>
    </row>
    <row r="199" spans="1:7" x14ac:dyDescent="0.25">
      <c r="A199">
        <v>17</v>
      </c>
      <c r="B199" t="s">
        <v>129</v>
      </c>
      <c r="C199">
        <v>60</v>
      </c>
      <c r="D199" t="s">
        <v>18</v>
      </c>
      <c r="E199" t="s">
        <v>15</v>
      </c>
      <c r="F199">
        <v>71.856999999999999</v>
      </c>
      <c r="G199" t="s">
        <v>14</v>
      </c>
    </row>
    <row r="200" spans="1:7" x14ac:dyDescent="0.25">
      <c r="A200">
        <v>17</v>
      </c>
      <c r="B200" t="s">
        <v>129</v>
      </c>
      <c r="C200">
        <v>70</v>
      </c>
      <c r="D200" t="s">
        <v>113</v>
      </c>
      <c r="E200" t="s">
        <v>11</v>
      </c>
      <c r="F200">
        <v>4</v>
      </c>
      <c r="G200" t="s">
        <v>14</v>
      </c>
    </row>
    <row r="201" spans="1:7" x14ac:dyDescent="0.25">
      <c r="A201">
        <v>17</v>
      </c>
      <c r="B201" t="s">
        <v>129</v>
      </c>
      <c r="C201">
        <v>80</v>
      </c>
      <c r="D201" t="s">
        <v>21</v>
      </c>
      <c r="E201" t="s">
        <v>11</v>
      </c>
      <c r="F201">
        <v>1</v>
      </c>
      <c r="G201" t="s">
        <v>14</v>
      </c>
    </row>
    <row r="202" spans="1:7" x14ac:dyDescent="0.25">
      <c r="A202">
        <v>17</v>
      </c>
      <c r="B202" t="s">
        <v>129</v>
      </c>
      <c r="C202">
        <v>90</v>
      </c>
      <c r="D202" t="s">
        <v>22</v>
      </c>
      <c r="E202" t="s">
        <v>11</v>
      </c>
      <c r="F202">
        <v>1</v>
      </c>
      <c r="G202" t="s">
        <v>14</v>
      </c>
    </row>
    <row r="203" spans="1:7" x14ac:dyDescent="0.25">
      <c r="A203">
        <v>17</v>
      </c>
      <c r="B203" t="s">
        <v>129</v>
      </c>
      <c r="C203">
        <v>100</v>
      </c>
      <c r="D203" t="s">
        <v>23</v>
      </c>
      <c r="E203" t="s">
        <v>11</v>
      </c>
      <c r="F203">
        <v>1</v>
      </c>
      <c r="G203" t="s">
        <v>14</v>
      </c>
    </row>
    <row r="204" spans="1:7" x14ac:dyDescent="0.25">
      <c r="A204">
        <v>17</v>
      </c>
      <c r="B204" t="s">
        <v>129</v>
      </c>
      <c r="C204">
        <v>110</v>
      </c>
      <c r="D204" t="s">
        <v>111</v>
      </c>
      <c r="E204" t="s">
        <v>13</v>
      </c>
      <c r="F204">
        <v>0.58099999999999996</v>
      </c>
      <c r="G204" t="s">
        <v>14</v>
      </c>
    </row>
    <row r="205" spans="1:7" x14ac:dyDescent="0.25">
      <c r="A205">
        <v>17</v>
      </c>
      <c r="B205" t="s">
        <v>129</v>
      </c>
      <c r="C205">
        <v>120</v>
      </c>
      <c r="D205" t="s">
        <v>169</v>
      </c>
      <c r="E205" t="s">
        <v>11</v>
      </c>
      <c r="F205">
        <v>1</v>
      </c>
      <c r="G205" t="s">
        <v>16</v>
      </c>
    </row>
    <row r="206" spans="1:7" x14ac:dyDescent="0.25">
      <c r="A206">
        <v>18</v>
      </c>
      <c r="B206" t="s">
        <v>130</v>
      </c>
      <c r="C206">
        <v>10</v>
      </c>
      <c r="D206" t="s">
        <v>280</v>
      </c>
      <c r="E206" t="s">
        <v>11</v>
      </c>
      <c r="F206">
        <v>1</v>
      </c>
      <c r="G206" t="s">
        <v>16</v>
      </c>
    </row>
    <row r="207" spans="1:7" x14ac:dyDescent="0.25">
      <c r="A207">
        <v>18</v>
      </c>
      <c r="B207" t="s">
        <v>130</v>
      </c>
      <c r="C207">
        <v>20</v>
      </c>
      <c r="D207" t="s">
        <v>109</v>
      </c>
      <c r="E207" t="s">
        <v>15</v>
      </c>
      <c r="F207">
        <v>1.016</v>
      </c>
      <c r="G207" t="s">
        <v>16</v>
      </c>
    </row>
    <row r="208" spans="1:7" x14ac:dyDescent="0.25">
      <c r="A208">
        <v>18</v>
      </c>
      <c r="B208" t="s">
        <v>130</v>
      </c>
      <c r="C208">
        <v>30</v>
      </c>
      <c r="D208" t="s">
        <v>110</v>
      </c>
      <c r="E208" t="s">
        <v>15</v>
      </c>
      <c r="F208">
        <v>1.016</v>
      </c>
      <c r="G208" t="s">
        <v>16</v>
      </c>
    </row>
    <row r="209" spans="1:7" x14ac:dyDescent="0.25">
      <c r="A209">
        <v>18</v>
      </c>
      <c r="B209" t="s">
        <v>130</v>
      </c>
      <c r="C209">
        <v>40</v>
      </c>
      <c r="D209" t="s">
        <v>105</v>
      </c>
      <c r="E209" t="s">
        <v>106</v>
      </c>
      <c r="F209">
        <v>0.29599999999999999</v>
      </c>
      <c r="G209" t="s">
        <v>14</v>
      </c>
    </row>
    <row r="210" spans="1:7" x14ac:dyDescent="0.25">
      <c r="A210">
        <v>18</v>
      </c>
      <c r="B210" t="s">
        <v>130</v>
      </c>
      <c r="C210">
        <v>50</v>
      </c>
      <c r="D210" t="s">
        <v>107</v>
      </c>
      <c r="E210" t="s">
        <v>15</v>
      </c>
      <c r="F210">
        <v>12.294</v>
      </c>
      <c r="G210" t="s">
        <v>14</v>
      </c>
    </row>
    <row r="211" spans="1:7" x14ac:dyDescent="0.25">
      <c r="A211">
        <v>18</v>
      </c>
      <c r="B211" t="s">
        <v>130</v>
      </c>
      <c r="C211">
        <v>60</v>
      </c>
      <c r="D211" t="s">
        <v>18</v>
      </c>
      <c r="E211" t="s">
        <v>15</v>
      </c>
      <c r="F211">
        <v>75.605999999999995</v>
      </c>
      <c r="G211" t="s">
        <v>14</v>
      </c>
    </row>
    <row r="212" spans="1:7" x14ac:dyDescent="0.25">
      <c r="A212">
        <v>18</v>
      </c>
      <c r="B212" t="s">
        <v>130</v>
      </c>
      <c r="C212">
        <v>70</v>
      </c>
      <c r="D212" t="s">
        <v>113</v>
      </c>
      <c r="E212" t="s">
        <v>11</v>
      </c>
      <c r="F212">
        <v>4</v>
      </c>
      <c r="G212" t="s">
        <v>14</v>
      </c>
    </row>
    <row r="213" spans="1:7" x14ac:dyDescent="0.25">
      <c r="A213">
        <v>18</v>
      </c>
      <c r="B213" t="s">
        <v>130</v>
      </c>
      <c r="C213">
        <v>80</v>
      </c>
      <c r="D213" t="s">
        <v>21</v>
      </c>
      <c r="E213" t="s">
        <v>11</v>
      </c>
      <c r="F213">
        <v>1</v>
      </c>
      <c r="G213" t="s">
        <v>14</v>
      </c>
    </row>
    <row r="214" spans="1:7" x14ac:dyDescent="0.25">
      <c r="A214">
        <v>18</v>
      </c>
      <c r="B214" t="s">
        <v>130</v>
      </c>
      <c r="C214">
        <v>90</v>
      </c>
      <c r="D214" t="s">
        <v>22</v>
      </c>
      <c r="E214" t="s">
        <v>11</v>
      </c>
      <c r="F214">
        <v>1</v>
      </c>
      <c r="G214" t="s">
        <v>14</v>
      </c>
    </row>
    <row r="215" spans="1:7" x14ac:dyDescent="0.25">
      <c r="A215">
        <v>18</v>
      </c>
      <c r="B215" t="s">
        <v>130</v>
      </c>
      <c r="C215">
        <v>100</v>
      </c>
      <c r="D215" t="s">
        <v>23</v>
      </c>
      <c r="E215" t="s">
        <v>11</v>
      </c>
      <c r="F215">
        <v>1</v>
      </c>
      <c r="G215" t="s">
        <v>14</v>
      </c>
    </row>
    <row r="216" spans="1:7" x14ac:dyDescent="0.25">
      <c r="A216">
        <v>18</v>
      </c>
      <c r="B216" t="s">
        <v>130</v>
      </c>
      <c r="C216">
        <v>110</v>
      </c>
      <c r="D216" t="s">
        <v>111</v>
      </c>
      <c r="E216" t="s">
        <v>13</v>
      </c>
      <c r="F216">
        <v>0.66200000000000003</v>
      </c>
      <c r="G216" t="s">
        <v>14</v>
      </c>
    </row>
    <row r="217" spans="1:7" x14ac:dyDescent="0.25">
      <c r="A217">
        <v>18</v>
      </c>
      <c r="B217" t="s">
        <v>130</v>
      </c>
      <c r="C217">
        <v>120</v>
      </c>
      <c r="D217" t="s">
        <v>170</v>
      </c>
      <c r="E217" t="s">
        <v>11</v>
      </c>
      <c r="F217">
        <v>1</v>
      </c>
      <c r="G217" t="s">
        <v>16</v>
      </c>
    </row>
    <row r="218" spans="1:7" x14ac:dyDescent="0.25">
      <c r="A218">
        <v>19</v>
      </c>
      <c r="B218" t="s">
        <v>131</v>
      </c>
      <c r="C218">
        <v>10</v>
      </c>
      <c r="D218" t="s">
        <v>281</v>
      </c>
      <c r="E218" t="s">
        <v>11</v>
      </c>
      <c r="F218">
        <v>1</v>
      </c>
      <c r="G218" t="s">
        <v>16</v>
      </c>
    </row>
    <row r="219" spans="1:7" x14ac:dyDescent="0.25">
      <c r="A219">
        <v>19</v>
      </c>
      <c r="B219" t="s">
        <v>131</v>
      </c>
      <c r="C219">
        <v>20</v>
      </c>
      <c r="D219" t="s">
        <v>109</v>
      </c>
      <c r="E219" t="s">
        <v>15</v>
      </c>
      <c r="F219">
        <v>1.1679999999999999</v>
      </c>
      <c r="G219" t="s">
        <v>16</v>
      </c>
    </row>
    <row r="220" spans="1:7" x14ac:dyDescent="0.25">
      <c r="A220">
        <v>19</v>
      </c>
      <c r="B220" t="s">
        <v>131</v>
      </c>
      <c r="C220">
        <v>30</v>
      </c>
      <c r="D220" t="s">
        <v>110</v>
      </c>
      <c r="E220" t="s">
        <v>15</v>
      </c>
      <c r="F220">
        <v>1.1679999999999999</v>
      </c>
      <c r="G220" t="s">
        <v>16</v>
      </c>
    </row>
    <row r="221" spans="1:7" x14ac:dyDescent="0.25">
      <c r="A221">
        <v>19</v>
      </c>
      <c r="B221" t="s">
        <v>131</v>
      </c>
      <c r="C221">
        <v>40</v>
      </c>
      <c r="D221" t="s">
        <v>105</v>
      </c>
      <c r="E221" t="s">
        <v>106</v>
      </c>
      <c r="F221">
        <v>0.34300000000000003</v>
      </c>
      <c r="G221" t="s">
        <v>14</v>
      </c>
    </row>
    <row r="222" spans="1:7" x14ac:dyDescent="0.25">
      <c r="A222">
        <v>19</v>
      </c>
      <c r="B222" t="s">
        <v>131</v>
      </c>
      <c r="C222">
        <v>50</v>
      </c>
      <c r="D222" t="s">
        <v>107</v>
      </c>
      <c r="E222" t="s">
        <v>15</v>
      </c>
      <c r="F222">
        <v>12.903</v>
      </c>
      <c r="G222" t="s">
        <v>14</v>
      </c>
    </row>
    <row r="223" spans="1:7" x14ac:dyDescent="0.25">
      <c r="A223">
        <v>19</v>
      </c>
      <c r="B223" t="s">
        <v>131</v>
      </c>
      <c r="C223">
        <v>60</v>
      </c>
      <c r="D223" t="s">
        <v>18</v>
      </c>
      <c r="E223" t="s">
        <v>15</v>
      </c>
      <c r="F223">
        <v>79.355000000000004</v>
      </c>
      <c r="G223" t="s">
        <v>14</v>
      </c>
    </row>
    <row r="224" spans="1:7" x14ac:dyDescent="0.25">
      <c r="A224">
        <v>19</v>
      </c>
      <c r="B224" t="s">
        <v>131</v>
      </c>
      <c r="C224">
        <v>70</v>
      </c>
      <c r="D224" t="s">
        <v>113</v>
      </c>
      <c r="E224" t="s">
        <v>11</v>
      </c>
      <c r="F224">
        <v>4</v>
      </c>
      <c r="G224" t="s">
        <v>14</v>
      </c>
    </row>
    <row r="225" spans="1:7" x14ac:dyDescent="0.25">
      <c r="A225">
        <v>19</v>
      </c>
      <c r="B225" t="s">
        <v>131</v>
      </c>
      <c r="C225">
        <v>80</v>
      </c>
      <c r="D225" t="s">
        <v>21</v>
      </c>
      <c r="E225" t="s">
        <v>11</v>
      </c>
      <c r="F225">
        <v>1</v>
      </c>
      <c r="G225" t="s">
        <v>14</v>
      </c>
    </row>
    <row r="226" spans="1:7" x14ac:dyDescent="0.25">
      <c r="A226">
        <v>19</v>
      </c>
      <c r="B226" t="s">
        <v>131</v>
      </c>
      <c r="C226">
        <v>90</v>
      </c>
      <c r="D226" t="s">
        <v>22</v>
      </c>
      <c r="E226" t="s">
        <v>11</v>
      </c>
      <c r="F226">
        <v>1</v>
      </c>
      <c r="G226" t="s">
        <v>14</v>
      </c>
    </row>
    <row r="227" spans="1:7" x14ac:dyDescent="0.25">
      <c r="A227">
        <v>19</v>
      </c>
      <c r="B227" t="s">
        <v>131</v>
      </c>
      <c r="C227">
        <v>100</v>
      </c>
      <c r="D227" t="s">
        <v>23</v>
      </c>
      <c r="E227" t="s">
        <v>11</v>
      </c>
      <c r="F227">
        <v>1</v>
      </c>
      <c r="G227" t="s">
        <v>14</v>
      </c>
    </row>
    <row r="228" spans="1:7" x14ac:dyDescent="0.25">
      <c r="A228">
        <v>19</v>
      </c>
      <c r="B228" t="s">
        <v>131</v>
      </c>
      <c r="C228">
        <v>110</v>
      </c>
      <c r="D228" t="s">
        <v>111</v>
      </c>
      <c r="E228" t="s">
        <v>13</v>
      </c>
      <c r="F228">
        <v>0.74299999999999999</v>
      </c>
      <c r="G228" t="s">
        <v>14</v>
      </c>
    </row>
    <row r="229" spans="1:7" x14ac:dyDescent="0.25">
      <c r="A229">
        <v>19</v>
      </c>
      <c r="B229" t="s">
        <v>131</v>
      </c>
      <c r="C229">
        <v>120</v>
      </c>
      <c r="D229" t="s">
        <v>171</v>
      </c>
      <c r="E229" t="s">
        <v>11</v>
      </c>
      <c r="F229">
        <v>1</v>
      </c>
      <c r="G229" t="s">
        <v>16</v>
      </c>
    </row>
    <row r="230" spans="1:7" x14ac:dyDescent="0.25">
      <c r="A230">
        <v>20</v>
      </c>
      <c r="B230" t="s">
        <v>132</v>
      </c>
      <c r="C230">
        <v>10</v>
      </c>
      <c r="D230" t="s">
        <v>282</v>
      </c>
      <c r="E230" t="s">
        <v>11</v>
      </c>
      <c r="F230">
        <v>1</v>
      </c>
      <c r="G230" t="s">
        <v>16</v>
      </c>
    </row>
    <row r="231" spans="1:7" x14ac:dyDescent="0.25">
      <c r="A231">
        <v>20</v>
      </c>
      <c r="B231" t="s">
        <v>132</v>
      </c>
      <c r="C231">
        <v>20</v>
      </c>
      <c r="D231" t="s">
        <v>109</v>
      </c>
      <c r="E231" t="s">
        <v>15</v>
      </c>
      <c r="F231">
        <v>1.321</v>
      </c>
      <c r="G231" t="s">
        <v>16</v>
      </c>
    </row>
    <row r="232" spans="1:7" x14ac:dyDescent="0.25">
      <c r="A232">
        <v>20</v>
      </c>
      <c r="B232" t="s">
        <v>132</v>
      </c>
      <c r="C232">
        <v>30</v>
      </c>
      <c r="D232" t="s">
        <v>110</v>
      </c>
      <c r="E232" t="s">
        <v>15</v>
      </c>
      <c r="F232">
        <v>1.321</v>
      </c>
      <c r="G232" t="s">
        <v>16</v>
      </c>
    </row>
    <row r="233" spans="1:7" x14ac:dyDescent="0.25">
      <c r="A233">
        <v>20</v>
      </c>
      <c r="B233" t="s">
        <v>132</v>
      </c>
      <c r="C233">
        <v>40</v>
      </c>
      <c r="D233" t="s">
        <v>105</v>
      </c>
      <c r="E233" t="s">
        <v>106</v>
      </c>
      <c r="F233">
        <v>0.39</v>
      </c>
      <c r="G233" t="s">
        <v>14</v>
      </c>
    </row>
    <row r="234" spans="1:7" x14ac:dyDescent="0.25">
      <c r="A234">
        <v>20</v>
      </c>
      <c r="B234" t="s">
        <v>132</v>
      </c>
      <c r="C234">
        <v>50</v>
      </c>
      <c r="D234" t="s">
        <v>107</v>
      </c>
      <c r="E234" t="s">
        <v>15</v>
      </c>
      <c r="F234">
        <v>13.513</v>
      </c>
      <c r="G234" t="s">
        <v>14</v>
      </c>
    </row>
    <row r="235" spans="1:7" x14ac:dyDescent="0.25">
      <c r="A235">
        <v>20</v>
      </c>
      <c r="B235" t="s">
        <v>132</v>
      </c>
      <c r="C235">
        <v>60</v>
      </c>
      <c r="D235" t="s">
        <v>18</v>
      </c>
      <c r="E235" t="s">
        <v>15</v>
      </c>
      <c r="F235">
        <v>83.103999999999999</v>
      </c>
      <c r="G235" t="s">
        <v>14</v>
      </c>
    </row>
    <row r="236" spans="1:7" x14ac:dyDescent="0.25">
      <c r="A236">
        <v>20</v>
      </c>
      <c r="B236" t="s">
        <v>132</v>
      </c>
      <c r="C236">
        <v>70</v>
      </c>
      <c r="D236" t="s">
        <v>113</v>
      </c>
      <c r="E236" t="s">
        <v>11</v>
      </c>
      <c r="F236">
        <v>4</v>
      </c>
      <c r="G236" t="s">
        <v>14</v>
      </c>
    </row>
    <row r="237" spans="1:7" x14ac:dyDescent="0.25">
      <c r="A237">
        <v>20</v>
      </c>
      <c r="B237" t="s">
        <v>132</v>
      </c>
      <c r="C237">
        <v>80</v>
      </c>
      <c r="D237" t="s">
        <v>21</v>
      </c>
      <c r="E237" t="s">
        <v>11</v>
      </c>
      <c r="F237">
        <v>1</v>
      </c>
      <c r="G237" t="s">
        <v>14</v>
      </c>
    </row>
    <row r="238" spans="1:7" x14ac:dyDescent="0.25">
      <c r="A238">
        <v>20</v>
      </c>
      <c r="B238" t="s">
        <v>132</v>
      </c>
      <c r="C238">
        <v>90</v>
      </c>
      <c r="D238" t="s">
        <v>22</v>
      </c>
      <c r="E238" t="s">
        <v>11</v>
      </c>
      <c r="F238">
        <v>1</v>
      </c>
      <c r="G238" t="s">
        <v>14</v>
      </c>
    </row>
    <row r="239" spans="1:7" x14ac:dyDescent="0.25">
      <c r="A239">
        <v>20</v>
      </c>
      <c r="B239" t="s">
        <v>132</v>
      </c>
      <c r="C239">
        <v>100</v>
      </c>
      <c r="D239" t="s">
        <v>23</v>
      </c>
      <c r="E239" t="s">
        <v>11</v>
      </c>
      <c r="F239">
        <v>1</v>
      </c>
      <c r="G239" t="s">
        <v>14</v>
      </c>
    </row>
    <row r="240" spans="1:7" x14ac:dyDescent="0.25">
      <c r="A240">
        <v>20</v>
      </c>
      <c r="B240" t="s">
        <v>132</v>
      </c>
      <c r="C240">
        <v>110</v>
      </c>
      <c r="D240" t="s">
        <v>111</v>
      </c>
      <c r="E240" t="s">
        <v>13</v>
      </c>
      <c r="F240">
        <v>0.82399999999999995</v>
      </c>
      <c r="G240" t="s">
        <v>14</v>
      </c>
    </row>
    <row r="241" spans="1:7" x14ac:dyDescent="0.25">
      <c r="A241">
        <v>20</v>
      </c>
      <c r="B241" t="s">
        <v>132</v>
      </c>
      <c r="C241">
        <v>120</v>
      </c>
      <c r="D241" t="s">
        <v>172</v>
      </c>
      <c r="E241" t="s">
        <v>11</v>
      </c>
      <c r="F241">
        <v>1</v>
      </c>
      <c r="G241" t="s">
        <v>16</v>
      </c>
    </row>
    <row r="242" spans="1:7" x14ac:dyDescent="0.25">
      <c r="A242">
        <v>21</v>
      </c>
      <c r="B242" t="s">
        <v>133</v>
      </c>
      <c r="C242">
        <v>10</v>
      </c>
      <c r="D242" t="s">
        <v>283</v>
      </c>
      <c r="E242" t="s">
        <v>11</v>
      </c>
      <c r="F242">
        <v>1</v>
      </c>
      <c r="G242" t="s">
        <v>16</v>
      </c>
    </row>
    <row r="243" spans="1:7" x14ac:dyDescent="0.25">
      <c r="A243">
        <v>21</v>
      </c>
      <c r="B243" t="s">
        <v>133</v>
      </c>
      <c r="C243">
        <v>20</v>
      </c>
      <c r="D243" t="s">
        <v>109</v>
      </c>
      <c r="E243" t="s">
        <v>15</v>
      </c>
      <c r="F243">
        <v>1.397</v>
      </c>
      <c r="G243" t="s">
        <v>16</v>
      </c>
    </row>
    <row r="244" spans="1:7" x14ac:dyDescent="0.25">
      <c r="A244">
        <v>21</v>
      </c>
      <c r="B244" t="s">
        <v>133</v>
      </c>
      <c r="C244">
        <v>30</v>
      </c>
      <c r="D244" t="s">
        <v>110</v>
      </c>
      <c r="E244" t="s">
        <v>15</v>
      </c>
      <c r="F244">
        <v>1.397</v>
      </c>
      <c r="G244" t="s">
        <v>16</v>
      </c>
    </row>
    <row r="245" spans="1:7" x14ac:dyDescent="0.25">
      <c r="A245">
        <v>21</v>
      </c>
      <c r="B245" t="s">
        <v>133</v>
      </c>
      <c r="C245">
        <v>40</v>
      </c>
      <c r="D245" t="s">
        <v>105</v>
      </c>
      <c r="E245" t="s">
        <v>106</v>
      </c>
      <c r="F245">
        <v>0.41299999999999998</v>
      </c>
      <c r="G245" t="s">
        <v>14</v>
      </c>
    </row>
    <row r="246" spans="1:7" x14ac:dyDescent="0.25">
      <c r="A246">
        <v>21</v>
      </c>
      <c r="B246" t="s">
        <v>133</v>
      </c>
      <c r="C246">
        <v>50</v>
      </c>
      <c r="D246" t="s">
        <v>107</v>
      </c>
      <c r="E246" t="s">
        <v>15</v>
      </c>
      <c r="F246">
        <v>13.818</v>
      </c>
      <c r="G246" t="s">
        <v>14</v>
      </c>
    </row>
    <row r="247" spans="1:7" x14ac:dyDescent="0.25">
      <c r="A247">
        <v>21</v>
      </c>
      <c r="B247" t="s">
        <v>133</v>
      </c>
      <c r="C247">
        <v>60</v>
      </c>
      <c r="D247" t="s">
        <v>18</v>
      </c>
      <c r="E247" t="s">
        <v>15</v>
      </c>
      <c r="F247">
        <v>84.977999999999994</v>
      </c>
      <c r="G247" t="s">
        <v>14</v>
      </c>
    </row>
    <row r="248" spans="1:7" x14ac:dyDescent="0.25">
      <c r="A248">
        <v>21</v>
      </c>
      <c r="B248" t="s">
        <v>133</v>
      </c>
      <c r="C248">
        <v>70</v>
      </c>
      <c r="D248" t="s">
        <v>113</v>
      </c>
      <c r="E248" t="s">
        <v>11</v>
      </c>
      <c r="F248">
        <v>4</v>
      </c>
      <c r="G248" t="s">
        <v>14</v>
      </c>
    </row>
    <row r="249" spans="1:7" x14ac:dyDescent="0.25">
      <c r="A249">
        <v>21</v>
      </c>
      <c r="B249" t="s">
        <v>133</v>
      </c>
      <c r="C249">
        <v>80</v>
      </c>
      <c r="D249" t="s">
        <v>21</v>
      </c>
      <c r="E249" t="s">
        <v>11</v>
      </c>
      <c r="F249">
        <v>1</v>
      </c>
      <c r="G249" t="s">
        <v>14</v>
      </c>
    </row>
    <row r="250" spans="1:7" x14ac:dyDescent="0.25">
      <c r="A250">
        <v>21</v>
      </c>
      <c r="B250" t="s">
        <v>133</v>
      </c>
      <c r="C250">
        <v>90</v>
      </c>
      <c r="D250" t="s">
        <v>22</v>
      </c>
      <c r="E250" t="s">
        <v>11</v>
      </c>
      <c r="F250">
        <v>1</v>
      </c>
      <c r="G250" t="s">
        <v>14</v>
      </c>
    </row>
    <row r="251" spans="1:7" x14ac:dyDescent="0.25">
      <c r="A251">
        <v>21</v>
      </c>
      <c r="B251" t="s">
        <v>133</v>
      </c>
      <c r="C251">
        <v>100</v>
      </c>
      <c r="D251" t="s">
        <v>23</v>
      </c>
      <c r="E251" t="s">
        <v>11</v>
      </c>
      <c r="F251">
        <v>1</v>
      </c>
      <c r="G251" t="s">
        <v>14</v>
      </c>
    </row>
    <row r="252" spans="1:7" x14ac:dyDescent="0.25">
      <c r="A252">
        <v>21</v>
      </c>
      <c r="B252" t="s">
        <v>133</v>
      </c>
      <c r="C252">
        <v>110</v>
      </c>
      <c r="D252" t="s">
        <v>111</v>
      </c>
      <c r="E252" t="s">
        <v>13</v>
      </c>
      <c r="F252">
        <v>0.86499999999999999</v>
      </c>
      <c r="G252" t="s">
        <v>14</v>
      </c>
    </row>
    <row r="253" spans="1:7" x14ac:dyDescent="0.25">
      <c r="A253">
        <v>21</v>
      </c>
      <c r="B253" t="s">
        <v>133</v>
      </c>
      <c r="C253">
        <v>120</v>
      </c>
      <c r="D253" t="s">
        <v>173</v>
      </c>
      <c r="E253" t="s">
        <v>11</v>
      </c>
      <c r="F253">
        <v>1</v>
      </c>
      <c r="G253" t="s">
        <v>16</v>
      </c>
    </row>
    <row r="254" spans="1:7" x14ac:dyDescent="0.25">
      <c r="A254">
        <v>22</v>
      </c>
      <c r="B254" t="s">
        <v>134</v>
      </c>
      <c r="C254">
        <v>10</v>
      </c>
      <c r="D254" t="s">
        <v>284</v>
      </c>
      <c r="E254" t="s">
        <v>11</v>
      </c>
      <c r="F254">
        <v>1</v>
      </c>
      <c r="G254" t="s">
        <v>16</v>
      </c>
    </row>
    <row r="255" spans="1:7" x14ac:dyDescent="0.25">
      <c r="A255">
        <v>22</v>
      </c>
      <c r="B255" t="s">
        <v>134</v>
      </c>
      <c r="C255">
        <v>20</v>
      </c>
      <c r="D255" t="s">
        <v>109</v>
      </c>
      <c r="E255" t="s">
        <v>15</v>
      </c>
      <c r="F255">
        <v>1.4730000000000001</v>
      </c>
      <c r="G255" t="s">
        <v>16</v>
      </c>
    </row>
    <row r="256" spans="1:7" x14ac:dyDescent="0.25">
      <c r="A256">
        <v>22</v>
      </c>
      <c r="B256" t="s">
        <v>134</v>
      </c>
      <c r="C256">
        <v>30</v>
      </c>
      <c r="D256" t="s">
        <v>110</v>
      </c>
      <c r="E256" t="s">
        <v>15</v>
      </c>
      <c r="F256">
        <v>1.4730000000000001</v>
      </c>
      <c r="G256" t="s">
        <v>16</v>
      </c>
    </row>
    <row r="257" spans="1:7" x14ac:dyDescent="0.25">
      <c r="A257">
        <v>22</v>
      </c>
      <c r="B257" t="s">
        <v>134</v>
      </c>
      <c r="C257">
        <v>40</v>
      </c>
      <c r="D257" t="s">
        <v>105</v>
      </c>
      <c r="E257" t="s">
        <v>106</v>
      </c>
      <c r="F257">
        <v>0.437</v>
      </c>
      <c r="G257" t="s">
        <v>14</v>
      </c>
    </row>
    <row r="258" spans="1:7" x14ac:dyDescent="0.25">
      <c r="A258">
        <v>22</v>
      </c>
      <c r="B258" t="s">
        <v>134</v>
      </c>
      <c r="C258">
        <v>50</v>
      </c>
      <c r="D258" t="s">
        <v>107</v>
      </c>
      <c r="E258" t="s">
        <v>15</v>
      </c>
      <c r="F258">
        <v>14.122</v>
      </c>
      <c r="G258" t="s">
        <v>14</v>
      </c>
    </row>
    <row r="259" spans="1:7" x14ac:dyDescent="0.25">
      <c r="A259">
        <v>22</v>
      </c>
      <c r="B259" t="s">
        <v>134</v>
      </c>
      <c r="C259">
        <v>60</v>
      </c>
      <c r="D259" t="s">
        <v>18</v>
      </c>
      <c r="E259" t="s">
        <v>15</v>
      </c>
      <c r="F259">
        <v>86.852999999999994</v>
      </c>
      <c r="G259" t="s">
        <v>14</v>
      </c>
    </row>
    <row r="260" spans="1:7" x14ac:dyDescent="0.25">
      <c r="A260">
        <v>22</v>
      </c>
      <c r="B260" t="s">
        <v>134</v>
      </c>
      <c r="C260">
        <v>70</v>
      </c>
      <c r="D260" t="s">
        <v>113</v>
      </c>
      <c r="E260" t="s">
        <v>11</v>
      </c>
      <c r="F260">
        <v>4</v>
      </c>
      <c r="G260" t="s">
        <v>14</v>
      </c>
    </row>
    <row r="261" spans="1:7" x14ac:dyDescent="0.25">
      <c r="A261">
        <v>22</v>
      </c>
      <c r="B261" t="s">
        <v>134</v>
      </c>
      <c r="C261">
        <v>80</v>
      </c>
      <c r="D261" t="s">
        <v>21</v>
      </c>
      <c r="E261" t="s">
        <v>11</v>
      </c>
      <c r="F261">
        <v>1</v>
      </c>
      <c r="G261" t="s">
        <v>14</v>
      </c>
    </row>
    <row r="262" spans="1:7" x14ac:dyDescent="0.25">
      <c r="A262">
        <v>22</v>
      </c>
      <c r="B262" t="s">
        <v>134</v>
      </c>
      <c r="C262">
        <v>90</v>
      </c>
      <c r="D262" t="s">
        <v>22</v>
      </c>
      <c r="E262" t="s">
        <v>11</v>
      </c>
      <c r="F262">
        <v>1</v>
      </c>
      <c r="G262" t="s">
        <v>14</v>
      </c>
    </row>
    <row r="263" spans="1:7" x14ac:dyDescent="0.25">
      <c r="A263">
        <v>22</v>
      </c>
      <c r="B263" t="s">
        <v>134</v>
      </c>
      <c r="C263">
        <v>100</v>
      </c>
      <c r="D263" t="s">
        <v>23</v>
      </c>
      <c r="E263" t="s">
        <v>11</v>
      </c>
      <c r="F263">
        <v>1</v>
      </c>
      <c r="G263" t="s">
        <v>14</v>
      </c>
    </row>
    <row r="264" spans="1:7" x14ac:dyDescent="0.25">
      <c r="A264">
        <v>22</v>
      </c>
      <c r="B264" t="s">
        <v>134</v>
      </c>
      <c r="C264">
        <v>110</v>
      </c>
      <c r="D264" t="s">
        <v>111</v>
      </c>
      <c r="E264" t="s">
        <v>13</v>
      </c>
      <c r="F264">
        <v>0.90500000000000003</v>
      </c>
      <c r="G264" t="s">
        <v>14</v>
      </c>
    </row>
    <row r="265" spans="1:7" x14ac:dyDescent="0.25">
      <c r="A265">
        <v>22</v>
      </c>
      <c r="B265" t="s">
        <v>134</v>
      </c>
      <c r="C265">
        <v>120</v>
      </c>
      <c r="D265" t="s">
        <v>174</v>
      </c>
      <c r="E265" t="s">
        <v>11</v>
      </c>
      <c r="F265">
        <v>1</v>
      </c>
      <c r="G265" t="s">
        <v>16</v>
      </c>
    </row>
    <row r="266" spans="1:7" x14ac:dyDescent="0.25">
      <c r="A266">
        <v>23</v>
      </c>
      <c r="B266" t="s">
        <v>135</v>
      </c>
      <c r="C266">
        <v>10</v>
      </c>
      <c r="D266" t="s">
        <v>285</v>
      </c>
      <c r="E266" t="s">
        <v>11</v>
      </c>
      <c r="F266">
        <v>1</v>
      </c>
      <c r="G266" t="s">
        <v>16</v>
      </c>
    </row>
    <row r="267" spans="1:7" x14ac:dyDescent="0.25">
      <c r="A267">
        <v>23</v>
      </c>
      <c r="B267" t="s">
        <v>135</v>
      </c>
      <c r="C267">
        <v>20</v>
      </c>
      <c r="D267" t="s">
        <v>109</v>
      </c>
      <c r="E267" t="s">
        <v>15</v>
      </c>
      <c r="F267">
        <v>1.6259999999999999</v>
      </c>
      <c r="G267" t="s">
        <v>16</v>
      </c>
    </row>
    <row r="268" spans="1:7" x14ac:dyDescent="0.25">
      <c r="A268">
        <v>23</v>
      </c>
      <c r="B268" t="s">
        <v>135</v>
      </c>
      <c r="C268">
        <v>30</v>
      </c>
      <c r="D268" t="s">
        <v>110</v>
      </c>
      <c r="E268" t="s">
        <v>15</v>
      </c>
      <c r="F268">
        <v>1.6259999999999999</v>
      </c>
      <c r="G268" t="s">
        <v>16</v>
      </c>
    </row>
    <row r="269" spans="1:7" x14ac:dyDescent="0.25">
      <c r="A269">
        <v>23</v>
      </c>
      <c r="B269" t="s">
        <v>135</v>
      </c>
      <c r="C269">
        <v>40</v>
      </c>
      <c r="D269" t="s">
        <v>105</v>
      </c>
      <c r="E269" t="s">
        <v>106</v>
      </c>
      <c r="F269">
        <v>0.48299999999999998</v>
      </c>
      <c r="G269" t="s">
        <v>14</v>
      </c>
    </row>
    <row r="270" spans="1:7" x14ac:dyDescent="0.25">
      <c r="A270">
        <v>23</v>
      </c>
      <c r="B270" t="s">
        <v>135</v>
      </c>
      <c r="C270">
        <v>50</v>
      </c>
      <c r="D270" t="s">
        <v>107</v>
      </c>
      <c r="E270" t="s">
        <v>15</v>
      </c>
      <c r="F270">
        <v>14.731999999999999</v>
      </c>
      <c r="G270" t="s">
        <v>14</v>
      </c>
    </row>
    <row r="271" spans="1:7" x14ac:dyDescent="0.25">
      <c r="A271">
        <v>23</v>
      </c>
      <c r="B271" t="s">
        <v>135</v>
      </c>
      <c r="C271">
        <v>60</v>
      </c>
      <c r="D271" t="s">
        <v>18</v>
      </c>
      <c r="E271" t="s">
        <v>15</v>
      </c>
      <c r="F271">
        <v>90.602000000000004</v>
      </c>
      <c r="G271" t="s">
        <v>14</v>
      </c>
    </row>
    <row r="272" spans="1:7" x14ac:dyDescent="0.25">
      <c r="A272">
        <v>23</v>
      </c>
      <c r="B272" t="s">
        <v>135</v>
      </c>
      <c r="C272">
        <v>70</v>
      </c>
      <c r="D272" t="s">
        <v>113</v>
      </c>
      <c r="E272" t="s">
        <v>11</v>
      </c>
      <c r="F272">
        <v>4</v>
      </c>
      <c r="G272" t="s">
        <v>14</v>
      </c>
    </row>
    <row r="273" spans="1:7" x14ac:dyDescent="0.25">
      <c r="A273">
        <v>23</v>
      </c>
      <c r="B273" t="s">
        <v>135</v>
      </c>
      <c r="C273">
        <v>80</v>
      </c>
      <c r="D273" t="s">
        <v>21</v>
      </c>
      <c r="E273" t="s">
        <v>11</v>
      </c>
      <c r="F273">
        <v>1</v>
      </c>
      <c r="G273" t="s">
        <v>14</v>
      </c>
    </row>
    <row r="274" spans="1:7" x14ac:dyDescent="0.25">
      <c r="A274">
        <v>23</v>
      </c>
      <c r="B274" t="s">
        <v>135</v>
      </c>
      <c r="C274">
        <v>90</v>
      </c>
      <c r="D274" t="s">
        <v>22</v>
      </c>
      <c r="E274" t="s">
        <v>11</v>
      </c>
      <c r="F274">
        <v>1</v>
      </c>
      <c r="G274" t="s">
        <v>14</v>
      </c>
    </row>
    <row r="275" spans="1:7" x14ac:dyDescent="0.25">
      <c r="A275">
        <v>23</v>
      </c>
      <c r="B275" t="s">
        <v>135</v>
      </c>
      <c r="C275">
        <v>100</v>
      </c>
      <c r="D275" t="s">
        <v>23</v>
      </c>
      <c r="E275" t="s">
        <v>11</v>
      </c>
      <c r="F275">
        <v>1</v>
      </c>
      <c r="G275" t="s">
        <v>14</v>
      </c>
    </row>
    <row r="276" spans="1:7" x14ac:dyDescent="0.25">
      <c r="A276">
        <v>23</v>
      </c>
      <c r="B276" t="s">
        <v>135</v>
      </c>
      <c r="C276">
        <v>110</v>
      </c>
      <c r="D276" t="s">
        <v>111</v>
      </c>
      <c r="E276" t="s">
        <v>13</v>
      </c>
      <c r="F276">
        <v>0.98599999999999999</v>
      </c>
      <c r="G276" t="s">
        <v>14</v>
      </c>
    </row>
    <row r="277" spans="1:7" x14ac:dyDescent="0.25">
      <c r="A277">
        <v>23</v>
      </c>
      <c r="B277" t="s">
        <v>135</v>
      </c>
      <c r="C277">
        <v>120</v>
      </c>
      <c r="D277" t="s">
        <v>175</v>
      </c>
      <c r="E277" t="s">
        <v>11</v>
      </c>
      <c r="F277">
        <v>1</v>
      </c>
      <c r="G277" t="s">
        <v>16</v>
      </c>
    </row>
    <row r="278" spans="1:7" x14ac:dyDescent="0.25">
      <c r="A278">
        <v>24</v>
      </c>
      <c r="B278" t="s">
        <v>136</v>
      </c>
      <c r="C278">
        <v>10</v>
      </c>
      <c r="D278" t="s">
        <v>286</v>
      </c>
      <c r="E278" t="s">
        <v>11</v>
      </c>
      <c r="F278">
        <v>1</v>
      </c>
      <c r="G278" t="s">
        <v>16</v>
      </c>
    </row>
    <row r="279" spans="1:7" x14ac:dyDescent="0.25">
      <c r="A279">
        <v>24</v>
      </c>
      <c r="B279" t="s">
        <v>136</v>
      </c>
      <c r="C279">
        <v>20</v>
      </c>
      <c r="D279" t="s">
        <v>109</v>
      </c>
      <c r="E279" t="s">
        <v>15</v>
      </c>
      <c r="F279">
        <v>1.778</v>
      </c>
      <c r="G279" t="s">
        <v>16</v>
      </c>
    </row>
    <row r="280" spans="1:7" x14ac:dyDescent="0.25">
      <c r="A280">
        <v>24</v>
      </c>
      <c r="B280" t="s">
        <v>136</v>
      </c>
      <c r="C280">
        <v>30</v>
      </c>
      <c r="D280" t="s">
        <v>110</v>
      </c>
      <c r="E280" t="s">
        <v>15</v>
      </c>
      <c r="F280">
        <v>1.778</v>
      </c>
      <c r="G280" t="s">
        <v>16</v>
      </c>
    </row>
    <row r="281" spans="1:7" x14ac:dyDescent="0.25">
      <c r="A281">
        <v>24</v>
      </c>
      <c r="B281" t="s">
        <v>136</v>
      </c>
      <c r="C281">
        <v>40</v>
      </c>
      <c r="D281" t="s">
        <v>105</v>
      </c>
      <c r="E281" t="s">
        <v>106</v>
      </c>
      <c r="F281">
        <v>0.53</v>
      </c>
      <c r="G281" t="s">
        <v>14</v>
      </c>
    </row>
    <row r="282" spans="1:7" x14ac:dyDescent="0.25">
      <c r="A282">
        <v>24</v>
      </c>
      <c r="B282" t="s">
        <v>136</v>
      </c>
      <c r="C282">
        <v>50</v>
      </c>
      <c r="D282" t="s">
        <v>107</v>
      </c>
      <c r="E282" t="s">
        <v>15</v>
      </c>
      <c r="F282">
        <v>15.342000000000001</v>
      </c>
      <c r="G282" t="s">
        <v>14</v>
      </c>
    </row>
    <row r="283" spans="1:7" x14ac:dyDescent="0.25">
      <c r="A283">
        <v>24</v>
      </c>
      <c r="B283" t="s">
        <v>136</v>
      </c>
      <c r="C283">
        <v>60</v>
      </c>
      <c r="D283" t="s">
        <v>18</v>
      </c>
      <c r="E283" t="s">
        <v>15</v>
      </c>
      <c r="F283">
        <v>94.350999999999999</v>
      </c>
      <c r="G283" t="s">
        <v>14</v>
      </c>
    </row>
    <row r="284" spans="1:7" x14ac:dyDescent="0.25">
      <c r="A284">
        <v>24</v>
      </c>
      <c r="B284" t="s">
        <v>136</v>
      </c>
      <c r="C284">
        <v>70</v>
      </c>
      <c r="D284" t="s">
        <v>113</v>
      </c>
      <c r="E284" t="s">
        <v>11</v>
      </c>
      <c r="F284">
        <v>4</v>
      </c>
      <c r="G284" t="s">
        <v>14</v>
      </c>
    </row>
    <row r="285" spans="1:7" x14ac:dyDescent="0.25">
      <c r="A285">
        <v>24</v>
      </c>
      <c r="B285" t="s">
        <v>136</v>
      </c>
      <c r="C285">
        <v>80</v>
      </c>
      <c r="D285" t="s">
        <v>21</v>
      </c>
      <c r="E285" t="s">
        <v>11</v>
      </c>
      <c r="F285">
        <v>1</v>
      </c>
      <c r="G285" t="s">
        <v>14</v>
      </c>
    </row>
    <row r="286" spans="1:7" x14ac:dyDescent="0.25">
      <c r="A286">
        <v>24</v>
      </c>
      <c r="B286" t="s">
        <v>136</v>
      </c>
      <c r="C286">
        <v>90</v>
      </c>
      <c r="D286" t="s">
        <v>22</v>
      </c>
      <c r="E286" t="s">
        <v>11</v>
      </c>
      <c r="F286">
        <v>1</v>
      </c>
      <c r="G286" t="s">
        <v>14</v>
      </c>
    </row>
    <row r="287" spans="1:7" x14ac:dyDescent="0.25">
      <c r="A287">
        <v>24</v>
      </c>
      <c r="B287" t="s">
        <v>136</v>
      </c>
      <c r="C287">
        <v>100</v>
      </c>
      <c r="D287" t="s">
        <v>23</v>
      </c>
      <c r="E287" t="s">
        <v>11</v>
      </c>
      <c r="F287">
        <v>1</v>
      </c>
      <c r="G287" t="s">
        <v>14</v>
      </c>
    </row>
    <row r="288" spans="1:7" x14ac:dyDescent="0.25">
      <c r="A288">
        <v>24</v>
      </c>
      <c r="B288" t="s">
        <v>136</v>
      </c>
      <c r="C288">
        <v>110</v>
      </c>
      <c r="D288" t="s">
        <v>111</v>
      </c>
      <c r="E288" t="s">
        <v>13</v>
      </c>
      <c r="F288">
        <v>1.0669999999999999</v>
      </c>
      <c r="G288" t="s">
        <v>14</v>
      </c>
    </row>
    <row r="289" spans="1:7" x14ac:dyDescent="0.25">
      <c r="A289">
        <v>24</v>
      </c>
      <c r="B289" t="s">
        <v>136</v>
      </c>
      <c r="C289">
        <v>120</v>
      </c>
      <c r="D289" t="s">
        <v>176</v>
      </c>
      <c r="E289" t="s">
        <v>11</v>
      </c>
      <c r="F289">
        <v>1</v>
      </c>
      <c r="G289" t="s">
        <v>16</v>
      </c>
    </row>
    <row r="290" spans="1:7" x14ac:dyDescent="0.25">
      <c r="A290">
        <v>25</v>
      </c>
      <c r="B290" t="s">
        <v>137</v>
      </c>
      <c r="C290">
        <v>10</v>
      </c>
      <c r="D290" t="s">
        <v>287</v>
      </c>
      <c r="E290" t="s">
        <v>11</v>
      </c>
      <c r="F290">
        <v>1</v>
      </c>
      <c r="G290" t="s">
        <v>16</v>
      </c>
    </row>
    <row r="291" spans="1:7" x14ac:dyDescent="0.25">
      <c r="A291">
        <v>25</v>
      </c>
      <c r="B291" t="s">
        <v>137</v>
      </c>
      <c r="C291">
        <v>20</v>
      </c>
      <c r="D291" t="s">
        <v>109</v>
      </c>
      <c r="E291" t="s">
        <v>15</v>
      </c>
      <c r="F291">
        <v>2.0569999999999999</v>
      </c>
      <c r="G291" t="s">
        <v>16</v>
      </c>
    </row>
    <row r="292" spans="1:7" x14ac:dyDescent="0.25">
      <c r="A292">
        <v>25</v>
      </c>
      <c r="B292" t="s">
        <v>137</v>
      </c>
      <c r="C292">
        <v>30</v>
      </c>
      <c r="D292" t="s">
        <v>110</v>
      </c>
      <c r="E292" t="s">
        <v>15</v>
      </c>
      <c r="F292">
        <v>2.0569999999999999</v>
      </c>
      <c r="G292" t="s">
        <v>16</v>
      </c>
    </row>
    <row r="293" spans="1:7" x14ac:dyDescent="0.25">
      <c r="A293">
        <v>25</v>
      </c>
      <c r="B293" t="s">
        <v>137</v>
      </c>
      <c r="C293">
        <v>40</v>
      </c>
      <c r="D293" t="s">
        <v>105</v>
      </c>
      <c r="E293" t="s">
        <v>106</v>
      </c>
      <c r="F293">
        <v>0.25600000000000001</v>
      </c>
      <c r="G293" t="s">
        <v>14</v>
      </c>
    </row>
    <row r="294" spans="1:7" x14ac:dyDescent="0.25">
      <c r="A294">
        <v>25</v>
      </c>
      <c r="B294" t="s">
        <v>137</v>
      </c>
      <c r="C294">
        <v>50</v>
      </c>
      <c r="D294" t="s">
        <v>107</v>
      </c>
      <c r="E294" t="s">
        <v>15</v>
      </c>
      <c r="F294">
        <v>11.887</v>
      </c>
      <c r="G294" t="s">
        <v>14</v>
      </c>
    </row>
    <row r="295" spans="1:7" x14ac:dyDescent="0.25">
      <c r="A295">
        <v>25</v>
      </c>
      <c r="B295" t="s">
        <v>137</v>
      </c>
      <c r="C295">
        <v>60</v>
      </c>
      <c r="D295" t="s">
        <v>18</v>
      </c>
      <c r="E295" t="s">
        <v>15</v>
      </c>
      <c r="F295">
        <v>73.105999999999995</v>
      </c>
      <c r="G295" t="s">
        <v>14</v>
      </c>
    </row>
    <row r="296" spans="1:7" x14ac:dyDescent="0.25">
      <c r="A296">
        <v>25</v>
      </c>
      <c r="B296" t="s">
        <v>137</v>
      </c>
      <c r="C296">
        <v>70</v>
      </c>
      <c r="D296" t="s">
        <v>113</v>
      </c>
      <c r="E296" t="s">
        <v>11</v>
      </c>
      <c r="F296">
        <v>4</v>
      </c>
      <c r="G296" t="s">
        <v>14</v>
      </c>
    </row>
    <row r="297" spans="1:7" x14ac:dyDescent="0.25">
      <c r="A297">
        <v>25</v>
      </c>
      <c r="B297" t="s">
        <v>137</v>
      </c>
      <c r="C297">
        <v>80</v>
      </c>
      <c r="D297" t="s">
        <v>21</v>
      </c>
      <c r="E297" t="s">
        <v>11</v>
      </c>
      <c r="F297">
        <v>1</v>
      </c>
      <c r="G297" t="s">
        <v>14</v>
      </c>
    </row>
    <row r="298" spans="1:7" x14ac:dyDescent="0.25">
      <c r="A298">
        <v>25</v>
      </c>
      <c r="B298" t="s">
        <v>137</v>
      </c>
      <c r="C298">
        <v>90</v>
      </c>
      <c r="D298" t="s">
        <v>22</v>
      </c>
      <c r="E298" t="s">
        <v>11</v>
      </c>
      <c r="F298">
        <v>1</v>
      </c>
      <c r="G298" t="s">
        <v>14</v>
      </c>
    </row>
    <row r="299" spans="1:7" x14ac:dyDescent="0.25">
      <c r="A299">
        <v>25</v>
      </c>
      <c r="B299" t="s">
        <v>137</v>
      </c>
      <c r="C299">
        <v>100</v>
      </c>
      <c r="D299" t="s">
        <v>23</v>
      </c>
      <c r="E299" t="s">
        <v>11</v>
      </c>
      <c r="F299">
        <v>1</v>
      </c>
      <c r="G299" t="s">
        <v>14</v>
      </c>
    </row>
    <row r="300" spans="1:7" x14ac:dyDescent="0.25">
      <c r="A300">
        <v>25</v>
      </c>
      <c r="B300" t="s">
        <v>137</v>
      </c>
      <c r="C300">
        <v>110</v>
      </c>
      <c r="D300" t="s">
        <v>111</v>
      </c>
      <c r="E300" t="s">
        <v>13</v>
      </c>
      <c r="F300">
        <v>1.216</v>
      </c>
      <c r="G300" t="s">
        <v>14</v>
      </c>
    </row>
    <row r="301" spans="1:7" x14ac:dyDescent="0.25">
      <c r="A301">
        <v>25</v>
      </c>
      <c r="B301" t="s">
        <v>137</v>
      </c>
      <c r="C301">
        <v>120</v>
      </c>
      <c r="D301" t="s">
        <v>177</v>
      </c>
      <c r="E301" t="s">
        <v>11</v>
      </c>
      <c r="F301">
        <v>1</v>
      </c>
      <c r="G301" t="s">
        <v>16</v>
      </c>
    </row>
    <row r="302" spans="1:7" x14ac:dyDescent="0.25">
      <c r="A302">
        <v>26</v>
      </c>
      <c r="B302" t="s">
        <v>138</v>
      </c>
      <c r="C302">
        <v>10</v>
      </c>
      <c r="D302" t="s">
        <v>288</v>
      </c>
      <c r="E302" t="s">
        <v>11</v>
      </c>
      <c r="F302">
        <v>1</v>
      </c>
      <c r="G302" t="s">
        <v>16</v>
      </c>
    </row>
    <row r="303" spans="1:7" x14ac:dyDescent="0.25">
      <c r="A303">
        <v>26</v>
      </c>
      <c r="B303" t="s">
        <v>138</v>
      </c>
      <c r="C303">
        <v>20</v>
      </c>
      <c r="D303" t="s">
        <v>109</v>
      </c>
      <c r="E303" t="s">
        <v>15</v>
      </c>
      <c r="F303">
        <v>2.0569999999999999</v>
      </c>
      <c r="G303" t="s">
        <v>16</v>
      </c>
    </row>
    <row r="304" spans="1:7" x14ac:dyDescent="0.25">
      <c r="A304">
        <v>26</v>
      </c>
      <c r="B304" t="s">
        <v>138</v>
      </c>
      <c r="C304">
        <v>30</v>
      </c>
      <c r="D304" t="s">
        <v>110</v>
      </c>
      <c r="E304" t="s">
        <v>15</v>
      </c>
      <c r="F304">
        <v>2.0569999999999999</v>
      </c>
      <c r="G304" t="s">
        <v>16</v>
      </c>
    </row>
    <row r="305" spans="1:7" x14ac:dyDescent="0.25">
      <c r="A305">
        <v>26</v>
      </c>
      <c r="B305" t="s">
        <v>138</v>
      </c>
      <c r="C305">
        <v>40</v>
      </c>
      <c r="D305" t="s">
        <v>105</v>
      </c>
      <c r="E305" t="s">
        <v>106</v>
      </c>
      <c r="F305">
        <v>0.30399999999999999</v>
      </c>
      <c r="G305" t="s">
        <v>14</v>
      </c>
    </row>
    <row r="306" spans="1:7" x14ac:dyDescent="0.25">
      <c r="A306">
        <v>26</v>
      </c>
      <c r="B306" t="s">
        <v>138</v>
      </c>
      <c r="C306">
        <v>50</v>
      </c>
      <c r="D306" t="s">
        <v>107</v>
      </c>
      <c r="E306" t="s">
        <v>15</v>
      </c>
      <c r="F306">
        <v>12.497</v>
      </c>
      <c r="G306" t="s">
        <v>14</v>
      </c>
    </row>
    <row r="307" spans="1:7" x14ac:dyDescent="0.25">
      <c r="A307">
        <v>26</v>
      </c>
      <c r="B307" t="s">
        <v>138</v>
      </c>
      <c r="C307">
        <v>60</v>
      </c>
      <c r="D307" t="s">
        <v>18</v>
      </c>
      <c r="E307" t="s">
        <v>15</v>
      </c>
      <c r="F307">
        <v>76.855000000000004</v>
      </c>
      <c r="G307" t="s">
        <v>14</v>
      </c>
    </row>
    <row r="308" spans="1:7" x14ac:dyDescent="0.25">
      <c r="A308">
        <v>26</v>
      </c>
      <c r="B308" t="s">
        <v>138</v>
      </c>
      <c r="C308">
        <v>70</v>
      </c>
      <c r="D308" t="s">
        <v>113</v>
      </c>
      <c r="E308" t="s">
        <v>11</v>
      </c>
      <c r="F308">
        <v>4</v>
      </c>
      <c r="G308" t="s">
        <v>14</v>
      </c>
    </row>
    <row r="309" spans="1:7" x14ac:dyDescent="0.25">
      <c r="A309">
        <v>26</v>
      </c>
      <c r="B309" t="s">
        <v>138</v>
      </c>
      <c r="C309">
        <v>80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26</v>
      </c>
      <c r="B310" t="s">
        <v>138</v>
      </c>
      <c r="C310">
        <v>90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26</v>
      </c>
      <c r="B311" t="s">
        <v>138</v>
      </c>
      <c r="C311">
        <v>100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26</v>
      </c>
      <c r="B312" t="s">
        <v>138</v>
      </c>
      <c r="C312">
        <v>110</v>
      </c>
      <c r="D312" t="s">
        <v>111</v>
      </c>
      <c r="E312" t="s">
        <v>13</v>
      </c>
      <c r="F312">
        <v>1.216</v>
      </c>
      <c r="G312" t="s">
        <v>14</v>
      </c>
    </row>
    <row r="313" spans="1:7" x14ac:dyDescent="0.25">
      <c r="A313">
        <v>26</v>
      </c>
      <c r="B313" t="s">
        <v>138</v>
      </c>
      <c r="C313">
        <v>120</v>
      </c>
      <c r="D313" t="s">
        <v>178</v>
      </c>
      <c r="E313" t="s">
        <v>11</v>
      </c>
      <c r="F313">
        <v>1</v>
      </c>
      <c r="G313" t="s">
        <v>16</v>
      </c>
    </row>
    <row r="314" spans="1:7" x14ac:dyDescent="0.25">
      <c r="A314">
        <v>27</v>
      </c>
      <c r="B314" t="s">
        <v>139</v>
      </c>
      <c r="C314">
        <v>10</v>
      </c>
      <c r="D314" t="s">
        <v>289</v>
      </c>
      <c r="E314" t="s">
        <v>11</v>
      </c>
      <c r="F314">
        <v>1</v>
      </c>
      <c r="G314" t="s">
        <v>16</v>
      </c>
    </row>
    <row r="315" spans="1:7" x14ac:dyDescent="0.25">
      <c r="A315">
        <v>27</v>
      </c>
      <c r="B315" t="s">
        <v>139</v>
      </c>
      <c r="C315">
        <v>20</v>
      </c>
      <c r="D315" t="s">
        <v>109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27</v>
      </c>
      <c r="B316" t="s">
        <v>139</v>
      </c>
      <c r="C316">
        <v>30</v>
      </c>
      <c r="D316" t="s">
        <v>110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27</v>
      </c>
      <c r="B317" t="s">
        <v>139</v>
      </c>
      <c r="C317">
        <v>40</v>
      </c>
      <c r="D317" t="s">
        <v>105</v>
      </c>
      <c r="E317" t="s">
        <v>106</v>
      </c>
      <c r="F317">
        <v>0.35199999999999998</v>
      </c>
      <c r="G317" t="s">
        <v>14</v>
      </c>
    </row>
    <row r="318" spans="1:7" x14ac:dyDescent="0.25">
      <c r="A318">
        <v>27</v>
      </c>
      <c r="B318" t="s">
        <v>139</v>
      </c>
      <c r="C318">
        <v>50</v>
      </c>
      <c r="D318" t="s">
        <v>107</v>
      </c>
      <c r="E318" t="s">
        <v>15</v>
      </c>
      <c r="F318">
        <v>13.106</v>
      </c>
      <c r="G318" t="s">
        <v>14</v>
      </c>
    </row>
    <row r="319" spans="1:7" x14ac:dyDescent="0.25">
      <c r="A319">
        <v>27</v>
      </c>
      <c r="B319" t="s">
        <v>139</v>
      </c>
      <c r="C319">
        <v>60</v>
      </c>
      <c r="D319" t="s">
        <v>18</v>
      </c>
      <c r="E319" t="s">
        <v>15</v>
      </c>
      <c r="F319">
        <v>80.603999999999999</v>
      </c>
      <c r="G319" t="s">
        <v>14</v>
      </c>
    </row>
    <row r="320" spans="1:7" x14ac:dyDescent="0.25">
      <c r="A320">
        <v>27</v>
      </c>
      <c r="B320" t="s">
        <v>139</v>
      </c>
      <c r="C320">
        <v>70</v>
      </c>
      <c r="D320" t="s">
        <v>113</v>
      </c>
      <c r="E320" t="s">
        <v>11</v>
      </c>
      <c r="F320">
        <v>4</v>
      </c>
      <c r="G320" t="s">
        <v>14</v>
      </c>
    </row>
    <row r="321" spans="1:7" x14ac:dyDescent="0.25">
      <c r="A321">
        <v>27</v>
      </c>
      <c r="B321" t="s">
        <v>139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27</v>
      </c>
      <c r="B322" t="s">
        <v>139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27</v>
      </c>
      <c r="B323" t="s">
        <v>139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27</v>
      </c>
      <c r="B324" t="s">
        <v>139</v>
      </c>
      <c r="C324">
        <v>110</v>
      </c>
      <c r="D324" t="s">
        <v>111</v>
      </c>
      <c r="E324" t="s">
        <v>13</v>
      </c>
      <c r="F324">
        <v>1.216</v>
      </c>
      <c r="G324" t="s">
        <v>14</v>
      </c>
    </row>
    <row r="325" spans="1:7" x14ac:dyDescent="0.25">
      <c r="A325">
        <v>27</v>
      </c>
      <c r="B325" t="s">
        <v>139</v>
      </c>
      <c r="C325">
        <v>120</v>
      </c>
      <c r="D325" t="s">
        <v>179</v>
      </c>
      <c r="E325" t="s">
        <v>11</v>
      </c>
      <c r="F325">
        <v>1</v>
      </c>
      <c r="G325" t="s">
        <v>16</v>
      </c>
    </row>
    <row r="326" spans="1:7" x14ac:dyDescent="0.25">
      <c r="A326">
        <v>28</v>
      </c>
      <c r="B326" t="s">
        <v>140</v>
      </c>
      <c r="C326">
        <v>10</v>
      </c>
      <c r="D326" t="s">
        <v>290</v>
      </c>
      <c r="E326" t="s">
        <v>11</v>
      </c>
      <c r="F326">
        <v>1</v>
      </c>
      <c r="G326" t="s">
        <v>16</v>
      </c>
    </row>
    <row r="327" spans="1:7" x14ac:dyDescent="0.25">
      <c r="A327">
        <v>28</v>
      </c>
      <c r="B327" t="s">
        <v>140</v>
      </c>
      <c r="C327">
        <v>20</v>
      </c>
      <c r="D327" t="s">
        <v>109</v>
      </c>
      <c r="E327" t="s">
        <v>15</v>
      </c>
      <c r="F327">
        <v>2.0569999999999999</v>
      </c>
      <c r="G327" t="s">
        <v>16</v>
      </c>
    </row>
    <row r="328" spans="1:7" x14ac:dyDescent="0.25">
      <c r="A328">
        <v>28</v>
      </c>
      <c r="B328" t="s">
        <v>140</v>
      </c>
      <c r="C328">
        <v>30</v>
      </c>
      <c r="D328" t="s">
        <v>110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28</v>
      </c>
      <c r="B329" t="s">
        <v>140</v>
      </c>
      <c r="C329">
        <v>40</v>
      </c>
      <c r="D329" t="s">
        <v>105</v>
      </c>
      <c r="E329" t="s">
        <v>106</v>
      </c>
      <c r="F329">
        <v>0.4</v>
      </c>
      <c r="G329" t="s">
        <v>14</v>
      </c>
    </row>
    <row r="330" spans="1:7" x14ac:dyDescent="0.25">
      <c r="A330">
        <v>28</v>
      </c>
      <c r="B330" t="s">
        <v>140</v>
      </c>
      <c r="C330">
        <v>50</v>
      </c>
      <c r="D330" t="s">
        <v>107</v>
      </c>
      <c r="E330" t="s">
        <v>15</v>
      </c>
      <c r="F330">
        <v>13.715999999999999</v>
      </c>
      <c r="G330" t="s">
        <v>14</v>
      </c>
    </row>
    <row r="331" spans="1:7" x14ac:dyDescent="0.25">
      <c r="A331">
        <v>28</v>
      </c>
      <c r="B331" t="s">
        <v>140</v>
      </c>
      <c r="C331">
        <v>60</v>
      </c>
      <c r="D331" t="s">
        <v>18</v>
      </c>
      <c r="E331" t="s">
        <v>15</v>
      </c>
      <c r="F331">
        <v>84.352999999999994</v>
      </c>
      <c r="G331" t="s">
        <v>14</v>
      </c>
    </row>
    <row r="332" spans="1:7" x14ac:dyDescent="0.25">
      <c r="A332">
        <v>28</v>
      </c>
      <c r="B332" t="s">
        <v>140</v>
      </c>
      <c r="C332">
        <v>70</v>
      </c>
      <c r="D332" t="s">
        <v>113</v>
      </c>
      <c r="E332" t="s">
        <v>11</v>
      </c>
      <c r="F332">
        <v>4</v>
      </c>
      <c r="G332" t="s">
        <v>14</v>
      </c>
    </row>
    <row r="333" spans="1:7" x14ac:dyDescent="0.25">
      <c r="A333">
        <v>28</v>
      </c>
      <c r="B333" t="s">
        <v>140</v>
      </c>
      <c r="C333">
        <v>80</v>
      </c>
      <c r="D333" t="s">
        <v>21</v>
      </c>
      <c r="E333" t="s">
        <v>11</v>
      </c>
      <c r="F333">
        <v>1</v>
      </c>
      <c r="G333" t="s">
        <v>14</v>
      </c>
    </row>
    <row r="334" spans="1:7" x14ac:dyDescent="0.25">
      <c r="A334">
        <v>28</v>
      </c>
      <c r="B334" t="s">
        <v>140</v>
      </c>
      <c r="C334">
        <v>90</v>
      </c>
      <c r="D334" t="s">
        <v>22</v>
      </c>
      <c r="E334" t="s">
        <v>11</v>
      </c>
      <c r="F334">
        <v>1</v>
      </c>
      <c r="G334" t="s">
        <v>14</v>
      </c>
    </row>
    <row r="335" spans="1:7" x14ac:dyDescent="0.25">
      <c r="A335">
        <v>28</v>
      </c>
      <c r="B335" t="s">
        <v>140</v>
      </c>
      <c r="C335">
        <v>100</v>
      </c>
      <c r="D335" t="s">
        <v>23</v>
      </c>
      <c r="E335" t="s">
        <v>11</v>
      </c>
      <c r="F335">
        <v>1</v>
      </c>
      <c r="G335" t="s">
        <v>14</v>
      </c>
    </row>
    <row r="336" spans="1:7" x14ac:dyDescent="0.25">
      <c r="A336">
        <v>28</v>
      </c>
      <c r="B336" t="s">
        <v>140</v>
      </c>
      <c r="C336">
        <v>110</v>
      </c>
      <c r="D336" t="s">
        <v>111</v>
      </c>
      <c r="E336" t="s">
        <v>13</v>
      </c>
      <c r="F336">
        <v>1.216</v>
      </c>
      <c r="G336" t="s">
        <v>14</v>
      </c>
    </row>
    <row r="337" spans="1:7" x14ac:dyDescent="0.25">
      <c r="A337">
        <v>28</v>
      </c>
      <c r="B337" t="s">
        <v>140</v>
      </c>
      <c r="C337">
        <v>120</v>
      </c>
      <c r="D337" t="s">
        <v>180</v>
      </c>
      <c r="E337" t="s">
        <v>11</v>
      </c>
      <c r="F337">
        <v>1</v>
      </c>
      <c r="G337" t="s">
        <v>16</v>
      </c>
    </row>
    <row r="338" spans="1:7" x14ac:dyDescent="0.25">
      <c r="A338">
        <v>29</v>
      </c>
      <c r="B338" t="s">
        <v>141</v>
      </c>
      <c r="C338">
        <v>10</v>
      </c>
      <c r="D338" t="s">
        <v>291</v>
      </c>
      <c r="E338" t="s">
        <v>11</v>
      </c>
      <c r="F338">
        <v>1</v>
      </c>
      <c r="G338" t="s">
        <v>16</v>
      </c>
    </row>
    <row r="339" spans="1:7" x14ac:dyDescent="0.25">
      <c r="A339">
        <v>29</v>
      </c>
      <c r="B339" t="s">
        <v>141</v>
      </c>
      <c r="C339">
        <v>20</v>
      </c>
      <c r="D339" t="s">
        <v>109</v>
      </c>
      <c r="E339" t="s">
        <v>15</v>
      </c>
      <c r="F339">
        <v>2.0569999999999999</v>
      </c>
      <c r="G339" t="s">
        <v>16</v>
      </c>
    </row>
    <row r="340" spans="1:7" x14ac:dyDescent="0.25">
      <c r="A340">
        <v>29</v>
      </c>
      <c r="B340" t="s">
        <v>141</v>
      </c>
      <c r="C340">
        <v>30</v>
      </c>
      <c r="D340" t="s">
        <v>110</v>
      </c>
      <c r="E340" t="s">
        <v>15</v>
      </c>
      <c r="F340">
        <v>2.0569999999999999</v>
      </c>
      <c r="G340" t="s">
        <v>16</v>
      </c>
    </row>
    <row r="341" spans="1:7" x14ac:dyDescent="0.25">
      <c r="A341">
        <v>29</v>
      </c>
      <c r="B341" t="s">
        <v>141</v>
      </c>
      <c r="C341">
        <v>40</v>
      </c>
      <c r="D341" t="s">
        <v>105</v>
      </c>
      <c r="E341" t="s">
        <v>106</v>
      </c>
      <c r="F341">
        <v>0.42399999999999999</v>
      </c>
      <c r="G341" t="s">
        <v>14</v>
      </c>
    </row>
    <row r="342" spans="1:7" x14ac:dyDescent="0.25">
      <c r="A342">
        <v>29</v>
      </c>
      <c r="B342" t="s">
        <v>141</v>
      </c>
      <c r="C342">
        <v>50</v>
      </c>
      <c r="D342" t="s">
        <v>107</v>
      </c>
      <c r="E342" t="s">
        <v>15</v>
      </c>
      <c r="F342">
        <v>14.021000000000001</v>
      </c>
      <c r="G342" t="s">
        <v>14</v>
      </c>
    </row>
    <row r="343" spans="1:7" x14ac:dyDescent="0.25">
      <c r="A343">
        <v>29</v>
      </c>
      <c r="B343" t="s">
        <v>141</v>
      </c>
      <c r="C343">
        <v>60</v>
      </c>
      <c r="D343" t="s">
        <v>18</v>
      </c>
      <c r="E343" t="s">
        <v>15</v>
      </c>
      <c r="F343">
        <v>86.227999999999994</v>
      </c>
      <c r="G343" t="s">
        <v>14</v>
      </c>
    </row>
    <row r="344" spans="1:7" x14ac:dyDescent="0.25">
      <c r="A344">
        <v>29</v>
      </c>
      <c r="B344" t="s">
        <v>141</v>
      </c>
      <c r="C344">
        <v>70</v>
      </c>
      <c r="D344" t="s">
        <v>113</v>
      </c>
      <c r="E344" t="s">
        <v>11</v>
      </c>
      <c r="F344">
        <v>4</v>
      </c>
      <c r="G344" t="s">
        <v>14</v>
      </c>
    </row>
    <row r="345" spans="1:7" x14ac:dyDescent="0.25">
      <c r="A345">
        <v>29</v>
      </c>
      <c r="B345" t="s">
        <v>141</v>
      </c>
      <c r="C345">
        <v>80</v>
      </c>
      <c r="D345" t="s">
        <v>21</v>
      </c>
      <c r="E345" t="s">
        <v>11</v>
      </c>
      <c r="F345">
        <v>1</v>
      </c>
      <c r="G345" t="s">
        <v>14</v>
      </c>
    </row>
    <row r="346" spans="1:7" x14ac:dyDescent="0.25">
      <c r="A346">
        <v>29</v>
      </c>
      <c r="B346" t="s">
        <v>141</v>
      </c>
      <c r="C346">
        <v>90</v>
      </c>
      <c r="D346" t="s">
        <v>22</v>
      </c>
      <c r="E346" t="s">
        <v>11</v>
      </c>
      <c r="F346">
        <v>1</v>
      </c>
      <c r="G346" t="s">
        <v>14</v>
      </c>
    </row>
    <row r="347" spans="1:7" x14ac:dyDescent="0.25">
      <c r="A347">
        <v>29</v>
      </c>
      <c r="B347" t="s">
        <v>141</v>
      </c>
      <c r="C347">
        <v>100</v>
      </c>
      <c r="D347" t="s">
        <v>23</v>
      </c>
      <c r="E347" t="s">
        <v>11</v>
      </c>
      <c r="F347">
        <v>1</v>
      </c>
      <c r="G347" t="s">
        <v>14</v>
      </c>
    </row>
    <row r="348" spans="1:7" x14ac:dyDescent="0.25">
      <c r="A348">
        <v>29</v>
      </c>
      <c r="B348" t="s">
        <v>141</v>
      </c>
      <c r="C348">
        <v>110</v>
      </c>
      <c r="D348" t="s">
        <v>111</v>
      </c>
      <c r="E348" t="s">
        <v>13</v>
      </c>
      <c r="F348">
        <v>1.216</v>
      </c>
      <c r="G348" t="s">
        <v>14</v>
      </c>
    </row>
    <row r="349" spans="1:7" x14ac:dyDescent="0.25">
      <c r="A349">
        <v>29</v>
      </c>
      <c r="B349" t="s">
        <v>141</v>
      </c>
      <c r="C349">
        <v>120</v>
      </c>
      <c r="D349" t="s">
        <v>181</v>
      </c>
      <c r="E349" t="s">
        <v>11</v>
      </c>
      <c r="F349">
        <v>1</v>
      </c>
      <c r="G349" t="s">
        <v>16</v>
      </c>
    </row>
    <row r="350" spans="1:7" x14ac:dyDescent="0.25">
      <c r="A350">
        <v>30</v>
      </c>
      <c r="B350" t="s">
        <v>142</v>
      </c>
      <c r="C350">
        <v>10</v>
      </c>
      <c r="D350" t="s">
        <v>292</v>
      </c>
      <c r="E350" t="s">
        <v>11</v>
      </c>
      <c r="F350">
        <v>1</v>
      </c>
      <c r="G350" t="s">
        <v>16</v>
      </c>
    </row>
    <row r="351" spans="1:7" x14ac:dyDescent="0.25">
      <c r="A351">
        <v>30</v>
      </c>
      <c r="B351" t="s">
        <v>142</v>
      </c>
      <c r="C351">
        <v>20</v>
      </c>
      <c r="D351" t="s">
        <v>109</v>
      </c>
      <c r="E351" t="s">
        <v>15</v>
      </c>
      <c r="F351">
        <v>2.0569999999999999</v>
      </c>
      <c r="G351" t="s">
        <v>16</v>
      </c>
    </row>
    <row r="352" spans="1:7" x14ac:dyDescent="0.25">
      <c r="A352">
        <v>30</v>
      </c>
      <c r="B352" t="s">
        <v>142</v>
      </c>
      <c r="C352">
        <v>30</v>
      </c>
      <c r="D352" t="s">
        <v>110</v>
      </c>
      <c r="E352" t="s">
        <v>15</v>
      </c>
      <c r="F352">
        <v>2.0569999999999999</v>
      </c>
      <c r="G352" t="s">
        <v>16</v>
      </c>
    </row>
    <row r="353" spans="1:7" x14ac:dyDescent="0.25">
      <c r="A353">
        <v>30</v>
      </c>
      <c r="B353" t="s">
        <v>142</v>
      </c>
      <c r="C353">
        <v>40</v>
      </c>
      <c r="D353" t="s">
        <v>105</v>
      </c>
      <c r="E353" t="s">
        <v>106</v>
      </c>
      <c r="F353">
        <v>0.44800000000000001</v>
      </c>
      <c r="G353" t="s">
        <v>14</v>
      </c>
    </row>
    <row r="354" spans="1:7" x14ac:dyDescent="0.25">
      <c r="A354">
        <v>30</v>
      </c>
      <c r="B354" t="s">
        <v>142</v>
      </c>
      <c r="C354">
        <v>50</v>
      </c>
      <c r="D354" t="s">
        <v>107</v>
      </c>
      <c r="E354" t="s">
        <v>15</v>
      </c>
      <c r="F354">
        <v>14.326000000000001</v>
      </c>
      <c r="G354" t="s">
        <v>14</v>
      </c>
    </row>
    <row r="355" spans="1:7" x14ac:dyDescent="0.25">
      <c r="A355">
        <v>30</v>
      </c>
      <c r="B355" t="s">
        <v>142</v>
      </c>
      <c r="C355">
        <v>60</v>
      </c>
      <c r="D355" t="s">
        <v>18</v>
      </c>
      <c r="E355" t="s">
        <v>15</v>
      </c>
      <c r="F355">
        <v>88.102000000000004</v>
      </c>
      <c r="G355" t="s">
        <v>14</v>
      </c>
    </row>
    <row r="356" spans="1:7" x14ac:dyDescent="0.25">
      <c r="A356">
        <v>30</v>
      </c>
      <c r="B356" t="s">
        <v>142</v>
      </c>
      <c r="C356">
        <v>70</v>
      </c>
      <c r="D356" t="s">
        <v>113</v>
      </c>
      <c r="E356" t="s">
        <v>11</v>
      </c>
      <c r="F356">
        <v>4</v>
      </c>
      <c r="G356" t="s">
        <v>14</v>
      </c>
    </row>
    <row r="357" spans="1:7" x14ac:dyDescent="0.25">
      <c r="A357">
        <v>30</v>
      </c>
      <c r="B357" t="s">
        <v>142</v>
      </c>
      <c r="C357">
        <v>80</v>
      </c>
      <c r="D357" t="s">
        <v>21</v>
      </c>
      <c r="E357" t="s">
        <v>11</v>
      </c>
      <c r="F357">
        <v>1</v>
      </c>
      <c r="G357" t="s">
        <v>14</v>
      </c>
    </row>
    <row r="358" spans="1:7" x14ac:dyDescent="0.25">
      <c r="A358">
        <v>30</v>
      </c>
      <c r="B358" t="s">
        <v>142</v>
      </c>
      <c r="C358">
        <v>90</v>
      </c>
      <c r="D358" t="s">
        <v>22</v>
      </c>
      <c r="E358" t="s">
        <v>11</v>
      </c>
      <c r="F358">
        <v>1</v>
      </c>
      <c r="G358" t="s">
        <v>14</v>
      </c>
    </row>
    <row r="359" spans="1:7" x14ac:dyDescent="0.25">
      <c r="A359">
        <v>30</v>
      </c>
      <c r="B359" t="s">
        <v>142</v>
      </c>
      <c r="C359">
        <v>100</v>
      </c>
      <c r="D359" t="s">
        <v>23</v>
      </c>
      <c r="E359" t="s">
        <v>11</v>
      </c>
      <c r="F359">
        <v>1</v>
      </c>
      <c r="G359" t="s">
        <v>14</v>
      </c>
    </row>
    <row r="360" spans="1:7" x14ac:dyDescent="0.25">
      <c r="A360">
        <v>30</v>
      </c>
      <c r="B360" t="s">
        <v>142</v>
      </c>
      <c r="C360">
        <v>110</v>
      </c>
      <c r="D360" t="s">
        <v>111</v>
      </c>
      <c r="E360" t="s">
        <v>13</v>
      </c>
      <c r="F360">
        <v>1.216</v>
      </c>
      <c r="G360" t="s">
        <v>14</v>
      </c>
    </row>
    <row r="361" spans="1:7" x14ac:dyDescent="0.25">
      <c r="A361">
        <v>30</v>
      </c>
      <c r="B361" t="s">
        <v>142</v>
      </c>
      <c r="C361">
        <v>120</v>
      </c>
      <c r="D361" t="s">
        <v>182</v>
      </c>
      <c r="E361" t="s">
        <v>11</v>
      </c>
      <c r="F361">
        <v>1</v>
      </c>
      <c r="G361" t="s">
        <v>16</v>
      </c>
    </row>
    <row r="362" spans="1:7" x14ac:dyDescent="0.25">
      <c r="A362">
        <v>31</v>
      </c>
      <c r="B362" t="s">
        <v>143</v>
      </c>
      <c r="C362">
        <v>10</v>
      </c>
      <c r="D362" t="s">
        <v>293</v>
      </c>
      <c r="E362" t="s">
        <v>11</v>
      </c>
      <c r="F362">
        <v>1</v>
      </c>
      <c r="G362" t="s">
        <v>16</v>
      </c>
    </row>
    <row r="363" spans="1:7" x14ac:dyDescent="0.25">
      <c r="A363">
        <v>31</v>
      </c>
      <c r="B363" t="s">
        <v>143</v>
      </c>
      <c r="C363">
        <v>20</v>
      </c>
      <c r="D363" t="s">
        <v>109</v>
      </c>
      <c r="E363" t="s">
        <v>15</v>
      </c>
      <c r="F363">
        <v>2.0569999999999999</v>
      </c>
      <c r="G363" t="s">
        <v>16</v>
      </c>
    </row>
    <row r="364" spans="1:7" x14ac:dyDescent="0.25">
      <c r="A364">
        <v>31</v>
      </c>
      <c r="B364" t="s">
        <v>143</v>
      </c>
      <c r="C364">
        <v>30</v>
      </c>
      <c r="D364" t="s">
        <v>110</v>
      </c>
      <c r="E364" t="s">
        <v>15</v>
      </c>
      <c r="F364">
        <v>2.0569999999999999</v>
      </c>
      <c r="G364" t="s">
        <v>16</v>
      </c>
    </row>
    <row r="365" spans="1:7" x14ac:dyDescent="0.25">
      <c r="A365">
        <v>31</v>
      </c>
      <c r="B365" t="s">
        <v>143</v>
      </c>
      <c r="C365">
        <v>40</v>
      </c>
      <c r="D365" t="s">
        <v>105</v>
      </c>
      <c r="E365" t="s">
        <v>106</v>
      </c>
      <c r="F365">
        <v>0.496</v>
      </c>
      <c r="G365" t="s">
        <v>14</v>
      </c>
    </row>
    <row r="366" spans="1:7" x14ac:dyDescent="0.25">
      <c r="A366">
        <v>31</v>
      </c>
      <c r="B366" t="s">
        <v>143</v>
      </c>
      <c r="C366">
        <v>50</v>
      </c>
      <c r="D366" t="s">
        <v>107</v>
      </c>
      <c r="E366" t="s">
        <v>15</v>
      </c>
      <c r="F366">
        <v>14.935</v>
      </c>
      <c r="G366" t="s">
        <v>14</v>
      </c>
    </row>
    <row r="367" spans="1:7" x14ac:dyDescent="0.25">
      <c r="A367">
        <v>31</v>
      </c>
      <c r="B367" t="s">
        <v>143</v>
      </c>
      <c r="C367">
        <v>60</v>
      </c>
      <c r="D367" t="s">
        <v>18</v>
      </c>
      <c r="E367" t="s">
        <v>15</v>
      </c>
      <c r="F367">
        <v>91.850999999999999</v>
      </c>
      <c r="G367" t="s">
        <v>14</v>
      </c>
    </row>
    <row r="368" spans="1:7" x14ac:dyDescent="0.25">
      <c r="A368">
        <v>31</v>
      </c>
      <c r="B368" t="s">
        <v>143</v>
      </c>
      <c r="C368">
        <v>70</v>
      </c>
      <c r="D368" t="s">
        <v>113</v>
      </c>
      <c r="E368" t="s">
        <v>11</v>
      </c>
      <c r="F368">
        <v>4</v>
      </c>
      <c r="G368" t="s">
        <v>14</v>
      </c>
    </row>
    <row r="369" spans="1:7" x14ac:dyDescent="0.25">
      <c r="A369">
        <v>31</v>
      </c>
      <c r="B369" t="s">
        <v>143</v>
      </c>
      <c r="C369">
        <v>80</v>
      </c>
      <c r="D369" t="s">
        <v>21</v>
      </c>
      <c r="E369" t="s">
        <v>11</v>
      </c>
      <c r="F369">
        <v>1</v>
      </c>
      <c r="G369" t="s">
        <v>14</v>
      </c>
    </row>
    <row r="370" spans="1:7" x14ac:dyDescent="0.25">
      <c r="A370">
        <v>31</v>
      </c>
      <c r="B370" t="s">
        <v>143</v>
      </c>
      <c r="C370">
        <v>90</v>
      </c>
      <c r="D370" t="s">
        <v>22</v>
      </c>
      <c r="E370" t="s">
        <v>11</v>
      </c>
      <c r="F370">
        <v>1</v>
      </c>
      <c r="G370" t="s">
        <v>14</v>
      </c>
    </row>
    <row r="371" spans="1:7" x14ac:dyDescent="0.25">
      <c r="A371">
        <v>31</v>
      </c>
      <c r="B371" t="s">
        <v>143</v>
      </c>
      <c r="C371">
        <v>100</v>
      </c>
      <c r="D371" t="s">
        <v>23</v>
      </c>
      <c r="E371" t="s">
        <v>11</v>
      </c>
      <c r="F371">
        <v>1</v>
      </c>
      <c r="G371" t="s">
        <v>14</v>
      </c>
    </row>
    <row r="372" spans="1:7" x14ac:dyDescent="0.25">
      <c r="A372">
        <v>31</v>
      </c>
      <c r="B372" t="s">
        <v>143</v>
      </c>
      <c r="C372">
        <v>110</v>
      </c>
      <c r="D372" t="s">
        <v>111</v>
      </c>
      <c r="E372" t="s">
        <v>13</v>
      </c>
      <c r="F372">
        <v>1.216</v>
      </c>
      <c r="G372" t="s">
        <v>14</v>
      </c>
    </row>
    <row r="373" spans="1:7" x14ac:dyDescent="0.25">
      <c r="A373">
        <v>31</v>
      </c>
      <c r="B373" t="s">
        <v>143</v>
      </c>
      <c r="C373">
        <v>120</v>
      </c>
      <c r="D373" t="s">
        <v>183</v>
      </c>
      <c r="E373" t="s">
        <v>11</v>
      </c>
      <c r="F373">
        <v>1</v>
      </c>
      <c r="G373" t="s">
        <v>16</v>
      </c>
    </row>
    <row r="374" spans="1:7" x14ac:dyDescent="0.25">
      <c r="A374">
        <v>32</v>
      </c>
      <c r="B374" t="s">
        <v>144</v>
      </c>
      <c r="C374">
        <v>10</v>
      </c>
      <c r="D374" t="s">
        <v>294</v>
      </c>
      <c r="E374" t="s">
        <v>11</v>
      </c>
      <c r="F374">
        <v>1</v>
      </c>
      <c r="G374" t="s">
        <v>16</v>
      </c>
    </row>
    <row r="375" spans="1:7" x14ac:dyDescent="0.25">
      <c r="A375">
        <v>32</v>
      </c>
      <c r="B375" t="s">
        <v>144</v>
      </c>
      <c r="C375">
        <v>20</v>
      </c>
      <c r="D375" t="s">
        <v>109</v>
      </c>
      <c r="E375" t="s">
        <v>15</v>
      </c>
      <c r="F375">
        <v>2.0569999999999999</v>
      </c>
      <c r="G375" t="s">
        <v>16</v>
      </c>
    </row>
    <row r="376" spans="1:7" x14ac:dyDescent="0.25">
      <c r="A376">
        <v>32</v>
      </c>
      <c r="B376" t="s">
        <v>144</v>
      </c>
      <c r="C376">
        <v>30</v>
      </c>
      <c r="D376" t="s">
        <v>110</v>
      </c>
      <c r="E376" t="s">
        <v>15</v>
      </c>
      <c r="F376">
        <v>2.0569999999999999</v>
      </c>
      <c r="G376" t="s">
        <v>16</v>
      </c>
    </row>
    <row r="377" spans="1:7" x14ac:dyDescent="0.25">
      <c r="A377">
        <v>32</v>
      </c>
      <c r="B377" t="s">
        <v>144</v>
      </c>
      <c r="C377">
        <v>40</v>
      </c>
      <c r="D377" t="s">
        <v>105</v>
      </c>
      <c r="E377" t="s">
        <v>106</v>
      </c>
      <c r="F377">
        <v>0.54400000000000004</v>
      </c>
      <c r="G377" t="s">
        <v>14</v>
      </c>
    </row>
    <row r="378" spans="1:7" x14ac:dyDescent="0.25">
      <c r="A378">
        <v>32</v>
      </c>
      <c r="B378" t="s">
        <v>144</v>
      </c>
      <c r="C378">
        <v>50</v>
      </c>
      <c r="D378" t="s">
        <v>107</v>
      </c>
      <c r="E378" t="s">
        <v>15</v>
      </c>
      <c r="F378">
        <v>15.545</v>
      </c>
      <c r="G378" t="s">
        <v>14</v>
      </c>
    </row>
    <row r="379" spans="1:7" x14ac:dyDescent="0.25">
      <c r="A379">
        <v>32</v>
      </c>
      <c r="B379" t="s">
        <v>144</v>
      </c>
      <c r="C379">
        <v>60</v>
      </c>
      <c r="D379" t="s">
        <v>18</v>
      </c>
      <c r="E379" t="s">
        <v>15</v>
      </c>
      <c r="F379">
        <v>95.600999999999999</v>
      </c>
      <c r="G379" t="s">
        <v>14</v>
      </c>
    </row>
    <row r="380" spans="1:7" x14ac:dyDescent="0.25">
      <c r="A380">
        <v>32</v>
      </c>
      <c r="B380" t="s">
        <v>144</v>
      </c>
      <c r="C380">
        <v>70</v>
      </c>
      <c r="D380" t="s">
        <v>113</v>
      </c>
      <c r="E380" t="s">
        <v>11</v>
      </c>
      <c r="F380">
        <v>4</v>
      </c>
      <c r="G380" t="s">
        <v>14</v>
      </c>
    </row>
    <row r="381" spans="1:7" x14ac:dyDescent="0.25">
      <c r="A381">
        <v>32</v>
      </c>
      <c r="B381" t="s">
        <v>144</v>
      </c>
      <c r="C381">
        <v>80</v>
      </c>
      <c r="D381" t="s">
        <v>21</v>
      </c>
      <c r="E381" t="s">
        <v>11</v>
      </c>
      <c r="F381">
        <v>1</v>
      </c>
      <c r="G381" t="s">
        <v>14</v>
      </c>
    </row>
    <row r="382" spans="1:7" x14ac:dyDescent="0.25">
      <c r="A382">
        <v>32</v>
      </c>
      <c r="B382" t="s">
        <v>144</v>
      </c>
      <c r="C382">
        <v>90</v>
      </c>
      <c r="D382" t="s">
        <v>22</v>
      </c>
      <c r="E382" t="s">
        <v>11</v>
      </c>
      <c r="F382">
        <v>1</v>
      </c>
      <c r="G382" t="s">
        <v>14</v>
      </c>
    </row>
    <row r="383" spans="1:7" x14ac:dyDescent="0.25">
      <c r="A383">
        <v>32</v>
      </c>
      <c r="B383" t="s">
        <v>144</v>
      </c>
      <c r="C383">
        <v>100</v>
      </c>
      <c r="D383" t="s">
        <v>23</v>
      </c>
      <c r="E383" t="s">
        <v>11</v>
      </c>
      <c r="F383">
        <v>1</v>
      </c>
      <c r="G383" t="s">
        <v>14</v>
      </c>
    </row>
    <row r="384" spans="1:7" x14ac:dyDescent="0.25">
      <c r="A384">
        <v>32</v>
      </c>
      <c r="B384" t="s">
        <v>144</v>
      </c>
      <c r="C384">
        <v>110</v>
      </c>
      <c r="D384" t="s">
        <v>111</v>
      </c>
      <c r="E384" t="s">
        <v>13</v>
      </c>
      <c r="F384">
        <v>1.216</v>
      </c>
      <c r="G384" t="s">
        <v>14</v>
      </c>
    </row>
    <row r="385" spans="1:7" x14ac:dyDescent="0.25">
      <c r="A385">
        <v>32</v>
      </c>
      <c r="B385" t="s">
        <v>144</v>
      </c>
      <c r="C385">
        <v>120</v>
      </c>
      <c r="D385" t="s">
        <v>184</v>
      </c>
      <c r="E385" t="s">
        <v>11</v>
      </c>
      <c r="F385">
        <v>1</v>
      </c>
      <c r="G385" t="s">
        <v>16</v>
      </c>
    </row>
    <row r="386" spans="1:7" x14ac:dyDescent="0.25">
      <c r="A386">
        <v>33</v>
      </c>
      <c r="B386" t="s">
        <v>145</v>
      </c>
      <c r="C386">
        <v>10</v>
      </c>
      <c r="D386" t="s">
        <v>295</v>
      </c>
      <c r="E386" t="s">
        <v>11</v>
      </c>
      <c r="F386">
        <v>1</v>
      </c>
      <c r="G386" t="s">
        <v>16</v>
      </c>
    </row>
    <row r="387" spans="1:7" x14ac:dyDescent="0.25">
      <c r="A387">
        <v>33</v>
      </c>
      <c r="B387" t="s">
        <v>145</v>
      </c>
      <c r="C387">
        <v>20</v>
      </c>
      <c r="D387" t="s">
        <v>109</v>
      </c>
      <c r="E387" t="s">
        <v>15</v>
      </c>
      <c r="F387">
        <v>2.1589999999999998</v>
      </c>
      <c r="G387" t="s">
        <v>16</v>
      </c>
    </row>
    <row r="388" spans="1:7" x14ac:dyDescent="0.25">
      <c r="A388">
        <v>33</v>
      </c>
      <c r="B388" t="s">
        <v>145</v>
      </c>
      <c r="C388">
        <v>30</v>
      </c>
      <c r="D388" t="s">
        <v>110</v>
      </c>
      <c r="E388" t="s">
        <v>15</v>
      </c>
      <c r="F388">
        <v>2.1589999999999998</v>
      </c>
      <c r="G388" t="s">
        <v>16</v>
      </c>
    </row>
    <row r="389" spans="1:7" x14ac:dyDescent="0.25">
      <c r="A389">
        <v>33</v>
      </c>
      <c r="B389" t="s">
        <v>145</v>
      </c>
      <c r="C389">
        <v>40</v>
      </c>
      <c r="D389" t="s">
        <v>105</v>
      </c>
      <c r="E389" t="s">
        <v>106</v>
      </c>
      <c r="F389">
        <v>0.26900000000000002</v>
      </c>
      <c r="G389" t="s">
        <v>14</v>
      </c>
    </row>
    <row r="390" spans="1:7" x14ac:dyDescent="0.25">
      <c r="A390">
        <v>33</v>
      </c>
      <c r="B390" t="s">
        <v>145</v>
      </c>
      <c r="C390">
        <v>50</v>
      </c>
      <c r="D390" t="s">
        <v>107</v>
      </c>
      <c r="E390" t="s">
        <v>15</v>
      </c>
      <c r="F390">
        <v>12.294</v>
      </c>
      <c r="G390" t="s">
        <v>14</v>
      </c>
    </row>
    <row r="391" spans="1:7" x14ac:dyDescent="0.25">
      <c r="A391">
        <v>33</v>
      </c>
      <c r="B391" t="s">
        <v>145</v>
      </c>
      <c r="C391">
        <v>60</v>
      </c>
      <c r="D391" t="s">
        <v>18</v>
      </c>
      <c r="E391" t="s">
        <v>15</v>
      </c>
      <c r="F391">
        <v>75.605999999999995</v>
      </c>
      <c r="G391" t="s">
        <v>14</v>
      </c>
    </row>
    <row r="392" spans="1:7" x14ac:dyDescent="0.25">
      <c r="A392">
        <v>33</v>
      </c>
      <c r="B392" t="s">
        <v>145</v>
      </c>
      <c r="C392">
        <v>70</v>
      </c>
      <c r="D392" t="s">
        <v>113</v>
      </c>
      <c r="E392" t="s">
        <v>11</v>
      </c>
      <c r="F392">
        <v>4</v>
      </c>
      <c r="G392" t="s">
        <v>14</v>
      </c>
    </row>
    <row r="393" spans="1:7" x14ac:dyDescent="0.25">
      <c r="A393">
        <v>33</v>
      </c>
      <c r="B393" t="s">
        <v>145</v>
      </c>
      <c r="C393">
        <v>80</v>
      </c>
      <c r="D393" t="s">
        <v>21</v>
      </c>
      <c r="E393" t="s">
        <v>11</v>
      </c>
      <c r="F393">
        <v>1</v>
      </c>
      <c r="G393" t="s">
        <v>14</v>
      </c>
    </row>
    <row r="394" spans="1:7" x14ac:dyDescent="0.25">
      <c r="A394">
        <v>33</v>
      </c>
      <c r="B394" t="s">
        <v>145</v>
      </c>
      <c r="C394">
        <v>90</v>
      </c>
      <c r="D394" t="s">
        <v>22</v>
      </c>
      <c r="E394" t="s">
        <v>11</v>
      </c>
      <c r="F394">
        <v>1</v>
      </c>
      <c r="G394" t="s">
        <v>14</v>
      </c>
    </row>
    <row r="395" spans="1:7" x14ac:dyDescent="0.25">
      <c r="A395">
        <v>33</v>
      </c>
      <c r="B395" t="s">
        <v>145</v>
      </c>
      <c r="C395">
        <v>100</v>
      </c>
      <c r="D395" t="s">
        <v>23</v>
      </c>
      <c r="E395" t="s">
        <v>11</v>
      </c>
      <c r="F395">
        <v>1</v>
      </c>
      <c r="G395" t="s">
        <v>14</v>
      </c>
    </row>
    <row r="396" spans="1:7" x14ac:dyDescent="0.25">
      <c r="A396">
        <v>33</v>
      </c>
      <c r="B396" t="s">
        <v>145</v>
      </c>
      <c r="C396">
        <v>110</v>
      </c>
      <c r="D396" t="s">
        <v>111</v>
      </c>
      <c r="E396" t="s">
        <v>13</v>
      </c>
      <c r="F396">
        <v>1.27</v>
      </c>
      <c r="G396" t="s">
        <v>14</v>
      </c>
    </row>
    <row r="397" spans="1:7" x14ac:dyDescent="0.25">
      <c r="A397">
        <v>33</v>
      </c>
      <c r="B397" t="s">
        <v>145</v>
      </c>
      <c r="C397">
        <v>120</v>
      </c>
      <c r="D397" t="s">
        <v>185</v>
      </c>
      <c r="E397" t="s">
        <v>11</v>
      </c>
      <c r="F397">
        <v>1</v>
      </c>
      <c r="G397" t="s">
        <v>16</v>
      </c>
    </row>
    <row r="398" spans="1:7" x14ac:dyDescent="0.25">
      <c r="A398">
        <v>34</v>
      </c>
      <c r="B398" t="s">
        <v>146</v>
      </c>
      <c r="C398">
        <v>10</v>
      </c>
      <c r="D398" t="s">
        <v>296</v>
      </c>
      <c r="E398" t="s">
        <v>11</v>
      </c>
      <c r="F398">
        <v>1</v>
      </c>
      <c r="G398" t="s">
        <v>16</v>
      </c>
    </row>
    <row r="399" spans="1:7" x14ac:dyDescent="0.25">
      <c r="A399">
        <v>34</v>
      </c>
      <c r="B399" t="s">
        <v>146</v>
      </c>
      <c r="C399">
        <v>20</v>
      </c>
      <c r="D399" t="s">
        <v>109</v>
      </c>
      <c r="E399" t="s">
        <v>15</v>
      </c>
      <c r="F399">
        <v>2.1589999999999998</v>
      </c>
      <c r="G399" t="s">
        <v>16</v>
      </c>
    </row>
    <row r="400" spans="1:7" x14ac:dyDescent="0.25">
      <c r="A400">
        <v>34</v>
      </c>
      <c r="B400" t="s">
        <v>146</v>
      </c>
      <c r="C400">
        <v>30</v>
      </c>
      <c r="D400" t="s">
        <v>110</v>
      </c>
      <c r="E400" t="s">
        <v>15</v>
      </c>
      <c r="F400">
        <v>2.1589999999999998</v>
      </c>
      <c r="G400" t="s">
        <v>16</v>
      </c>
    </row>
    <row r="401" spans="1:7" x14ac:dyDescent="0.25">
      <c r="A401">
        <v>34</v>
      </c>
      <c r="B401" t="s">
        <v>146</v>
      </c>
      <c r="C401">
        <v>40</v>
      </c>
      <c r="D401" t="s">
        <v>105</v>
      </c>
      <c r="E401" t="s">
        <v>106</v>
      </c>
      <c r="F401">
        <v>0.31900000000000001</v>
      </c>
      <c r="G401" t="s">
        <v>14</v>
      </c>
    </row>
    <row r="402" spans="1:7" x14ac:dyDescent="0.25">
      <c r="A402">
        <v>34</v>
      </c>
      <c r="B402" t="s">
        <v>146</v>
      </c>
      <c r="C402">
        <v>50</v>
      </c>
      <c r="D402" t="s">
        <v>107</v>
      </c>
      <c r="E402" t="s">
        <v>15</v>
      </c>
      <c r="F402">
        <v>12.903</v>
      </c>
      <c r="G402" t="s">
        <v>14</v>
      </c>
    </row>
    <row r="403" spans="1:7" x14ac:dyDescent="0.25">
      <c r="A403">
        <v>34</v>
      </c>
      <c r="B403" t="s">
        <v>146</v>
      </c>
      <c r="C403">
        <v>60</v>
      </c>
      <c r="D403" t="s">
        <v>18</v>
      </c>
      <c r="E403" t="s">
        <v>15</v>
      </c>
      <c r="F403">
        <v>79.355000000000004</v>
      </c>
      <c r="G403" t="s">
        <v>14</v>
      </c>
    </row>
    <row r="404" spans="1:7" x14ac:dyDescent="0.25">
      <c r="A404">
        <v>34</v>
      </c>
      <c r="B404" t="s">
        <v>146</v>
      </c>
      <c r="C404">
        <v>70</v>
      </c>
      <c r="D404" t="s">
        <v>113</v>
      </c>
      <c r="E404" t="s">
        <v>11</v>
      </c>
      <c r="F404">
        <v>4</v>
      </c>
      <c r="G404" t="s">
        <v>14</v>
      </c>
    </row>
    <row r="405" spans="1:7" x14ac:dyDescent="0.25">
      <c r="A405">
        <v>34</v>
      </c>
      <c r="B405" t="s">
        <v>146</v>
      </c>
      <c r="C405">
        <v>80</v>
      </c>
      <c r="D405" t="s">
        <v>21</v>
      </c>
      <c r="E405" t="s">
        <v>11</v>
      </c>
      <c r="F405">
        <v>1</v>
      </c>
      <c r="G405" t="s">
        <v>14</v>
      </c>
    </row>
    <row r="406" spans="1:7" x14ac:dyDescent="0.25">
      <c r="A406">
        <v>34</v>
      </c>
      <c r="B406" t="s">
        <v>146</v>
      </c>
      <c r="C406">
        <v>90</v>
      </c>
      <c r="D406" t="s">
        <v>22</v>
      </c>
      <c r="E406" t="s">
        <v>11</v>
      </c>
      <c r="F406">
        <v>1</v>
      </c>
      <c r="G406" t="s">
        <v>14</v>
      </c>
    </row>
    <row r="407" spans="1:7" x14ac:dyDescent="0.25">
      <c r="A407">
        <v>34</v>
      </c>
      <c r="B407" t="s">
        <v>146</v>
      </c>
      <c r="C407">
        <v>100</v>
      </c>
      <c r="D407" t="s">
        <v>23</v>
      </c>
      <c r="E407" t="s">
        <v>11</v>
      </c>
      <c r="F407">
        <v>1</v>
      </c>
      <c r="G407" t="s">
        <v>14</v>
      </c>
    </row>
    <row r="408" spans="1:7" x14ac:dyDescent="0.25">
      <c r="A408">
        <v>34</v>
      </c>
      <c r="B408" t="s">
        <v>146</v>
      </c>
      <c r="C408">
        <v>110</v>
      </c>
      <c r="D408" t="s">
        <v>111</v>
      </c>
      <c r="E408" t="s">
        <v>13</v>
      </c>
      <c r="F408">
        <v>1.27</v>
      </c>
      <c r="G408" t="s">
        <v>14</v>
      </c>
    </row>
    <row r="409" spans="1:7" x14ac:dyDescent="0.25">
      <c r="A409">
        <v>34</v>
      </c>
      <c r="B409" t="s">
        <v>146</v>
      </c>
      <c r="C409">
        <v>120</v>
      </c>
      <c r="D409" t="s">
        <v>186</v>
      </c>
      <c r="E409" t="s">
        <v>11</v>
      </c>
      <c r="F409">
        <v>1</v>
      </c>
      <c r="G409" t="s">
        <v>16</v>
      </c>
    </row>
    <row r="410" spans="1:7" x14ac:dyDescent="0.25">
      <c r="A410">
        <v>35</v>
      </c>
      <c r="B410" t="s">
        <v>147</v>
      </c>
      <c r="C410">
        <v>10</v>
      </c>
      <c r="D410" t="s">
        <v>297</v>
      </c>
      <c r="E410" t="s">
        <v>11</v>
      </c>
      <c r="F410">
        <v>1</v>
      </c>
      <c r="G410" t="s">
        <v>16</v>
      </c>
    </row>
    <row r="411" spans="1:7" x14ac:dyDescent="0.25">
      <c r="A411">
        <v>35</v>
      </c>
      <c r="B411" t="s">
        <v>147</v>
      </c>
      <c r="C411">
        <v>20</v>
      </c>
      <c r="D411" t="s">
        <v>109</v>
      </c>
      <c r="E411" t="s">
        <v>15</v>
      </c>
      <c r="F411">
        <v>2.1589999999999998</v>
      </c>
      <c r="G411" t="s">
        <v>16</v>
      </c>
    </row>
    <row r="412" spans="1:7" x14ac:dyDescent="0.25">
      <c r="A412">
        <v>35</v>
      </c>
      <c r="B412" t="s">
        <v>147</v>
      </c>
      <c r="C412">
        <v>30</v>
      </c>
      <c r="D412" t="s">
        <v>110</v>
      </c>
      <c r="E412" t="s">
        <v>15</v>
      </c>
      <c r="F412">
        <v>2.1589999999999998</v>
      </c>
      <c r="G412" t="s">
        <v>16</v>
      </c>
    </row>
    <row r="413" spans="1:7" x14ac:dyDescent="0.25">
      <c r="A413">
        <v>35</v>
      </c>
      <c r="B413" t="s">
        <v>147</v>
      </c>
      <c r="C413">
        <v>40</v>
      </c>
      <c r="D413" t="s">
        <v>105</v>
      </c>
      <c r="E413" t="s">
        <v>106</v>
      </c>
      <c r="F413">
        <v>0.37</v>
      </c>
      <c r="G413" t="s">
        <v>14</v>
      </c>
    </row>
    <row r="414" spans="1:7" x14ac:dyDescent="0.25">
      <c r="A414">
        <v>35</v>
      </c>
      <c r="B414" t="s">
        <v>147</v>
      </c>
      <c r="C414">
        <v>50</v>
      </c>
      <c r="D414" t="s">
        <v>107</v>
      </c>
      <c r="E414" t="s">
        <v>15</v>
      </c>
      <c r="F414">
        <v>13.513</v>
      </c>
      <c r="G414" t="s">
        <v>14</v>
      </c>
    </row>
    <row r="415" spans="1:7" x14ac:dyDescent="0.25">
      <c r="A415">
        <v>35</v>
      </c>
      <c r="B415" t="s">
        <v>147</v>
      </c>
      <c r="C415">
        <v>60</v>
      </c>
      <c r="D415" t="s">
        <v>18</v>
      </c>
      <c r="E415" t="s">
        <v>15</v>
      </c>
      <c r="F415">
        <v>83.103999999999999</v>
      </c>
      <c r="G415" t="s">
        <v>14</v>
      </c>
    </row>
    <row r="416" spans="1:7" x14ac:dyDescent="0.25">
      <c r="A416">
        <v>35</v>
      </c>
      <c r="B416" t="s">
        <v>147</v>
      </c>
      <c r="C416">
        <v>70</v>
      </c>
      <c r="D416" t="s">
        <v>113</v>
      </c>
      <c r="E416" t="s">
        <v>11</v>
      </c>
      <c r="F416">
        <v>4</v>
      </c>
      <c r="G416" t="s">
        <v>14</v>
      </c>
    </row>
    <row r="417" spans="1:7" x14ac:dyDescent="0.25">
      <c r="A417">
        <v>35</v>
      </c>
      <c r="B417" t="s">
        <v>147</v>
      </c>
      <c r="C417">
        <v>80</v>
      </c>
      <c r="D417" t="s">
        <v>21</v>
      </c>
      <c r="E417" t="s">
        <v>11</v>
      </c>
      <c r="F417">
        <v>1</v>
      </c>
      <c r="G417" t="s">
        <v>14</v>
      </c>
    </row>
    <row r="418" spans="1:7" x14ac:dyDescent="0.25">
      <c r="A418">
        <v>35</v>
      </c>
      <c r="B418" t="s">
        <v>147</v>
      </c>
      <c r="C418">
        <v>90</v>
      </c>
      <c r="D418" t="s">
        <v>22</v>
      </c>
      <c r="E418" t="s">
        <v>11</v>
      </c>
      <c r="F418">
        <v>1</v>
      </c>
      <c r="G418" t="s">
        <v>14</v>
      </c>
    </row>
    <row r="419" spans="1:7" x14ac:dyDescent="0.25">
      <c r="A419">
        <v>35</v>
      </c>
      <c r="B419" t="s">
        <v>147</v>
      </c>
      <c r="C419">
        <v>100</v>
      </c>
      <c r="D419" t="s">
        <v>23</v>
      </c>
      <c r="E419" t="s">
        <v>11</v>
      </c>
      <c r="F419">
        <v>1</v>
      </c>
      <c r="G419" t="s">
        <v>14</v>
      </c>
    </row>
    <row r="420" spans="1:7" x14ac:dyDescent="0.25">
      <c r="A420">
        <v>35</v>
      </c>
      <c r="B420" t="s">
        <v>147</v>
      </c>
      <c r="C420">
        <v>110</v>
      </c>
      <c r="D420" t="s">
        <v>111</v>
      </c>
      <c r="E420" t="s">
        <v>13</v>
      </c>
      <c r="F420">
        <v>1.27</v>
      </c>
      <c r="G420" t="s">
        <v>14</v>
      </c>
    </row>
    <row r="421" spans="1:7" x14ac:dyDescent="0.25">
      <c r="A421">
        <v>35</v>
      </c>
      <c r="B421" t="s">
        <v>147</v>
      </c>
      <c r="C421">
        <v>120</v>
      </c>
      <c r="D421" t="s">
        <v>187</v>
      </c>
      <c r="E421" t="s">
        <v>11</v>
      </c>
      <c r="F421">
        <v>1</v>
      </c>
      <c r="G421" t="s">
        <v>16</v>
      </c>
    </row>
    <row r="422" spans="1:7" x14ac:dyDescent="0.25">
      <c r="A422">
        <v>36</v>
      </c>
      <c r="B422" t="s">
        <v>148</v>
      </c>
      <c r="C422">
        <v>10</v>
      </c>
      <c r="D422" t="s">
        <v>298</v>
      </c>
      <c r="E422" t="s">
        <v>11</v>
      </c>
      <c r="F422">
        <v>1</v>
      </c>
      <c r="G422" t="s">
        <v>16</v>
      </c>
    </row>
    <row r="423" spans="1:7" x14ac:dyDescent="0.25">
      <c r="A423">
        <v>36</v>
      </c>
      <c r="B423" t="s">
        <v>148</v>
      </c>
      <c r="C423">
        <v>20</v>
      </c>
      <c r="D423" t="s">
        <v>109</v>
      </c>
      <c r="E423" t="s">
        <v>15</v>
      </c>
      <c r="F423">
        <v>2.1589999999999998</v>
      </c>
      <c r="G423" t="s">
        <v>16</v>
      </c>
    </row>
    <row r="424" spans="1:7" x14ac:dyDescent="0.25">
      <c r="A424">
        <v>36</v>
      </c>
      <c r="B424" t="s">
        <v>148</v>
      </c>
      <c r="C424">
        <v>30</v>
      </c>
      <c r="D424" t="s">
        <v>110</v>
      </c>
      <c r="E424" t="s">
        <v>15</v>
      </c>
      <c r="F424">
        <v>2.1589999999999998</v>
      </c>
      <c r="G424" t="s">
        <v>16</v>
      </c>
    </row>
    <row r="425" spans="1:7" x14ac:dyDescent="0.25">
      <c r="A425">
        <v>36</v>
      </c>
      <c r="B425" t="s">
        <v>148</v>
      </c>
      <c r="C425">
        <v>40</v>
      </c>
      <c r="D425" t="s">
        <v>105</v>
      </c>
      <c r="E425" t="s">
        <v>106</v>
      </c>
      <c r="F425">
        <v>0.42</v>
      </c>
      <c r="G425" t="s">
        <v>14</v>
      </c>
    </row>
    <row r="426" spans="1:7" x14ac:dyDescent="0.25">
      <c r="A426">
        <v>36</v>
      </c>
      <c r="B426" t="s">
        <v>148</v>
      </c>
      <c r="C426">
        <v>50</v>
      </c>
      <c r="D426" t="s">
        <v>107</v>
      </c>
      <c r="E426" t="s">
        <v>15</v>
      </c>
      <c r="F426">
        <v>14.122</v>
      </c>
      <c r="G426" t="s">
        <v>14</v>
      </c>
    </row>
    <row r="427" spans="1:7" x14ac:dyDescent="0.25">
      <c r="A427">
        <v>36</v>
      </c>
      <c r="B427" t="s">
        <v>148</v>
      </c>
      <c r="C427">
        <v>60</v>
      </c>
      <c r="D427" t="s">
        <v>18</v>
      </c>
      <c r="E427" t="s">
        <v>15</v>
      </c>
      <c r="F427">
        <v>86.852999999999994</v>
      </c>
      <c r="G427" t="s">
        <v>14</v>
      </c>
    </row>
    <row r="428" spans="1:7" x14ac:dyDescent="0.25">
      <c r="A428">
        <v>36</v>
      </c>
      <c r="B428" t="s">
        <v>148</v>
      </c>
      <c r="C428">
        <v>70</v>
      </c>
      <c r="D428" t="s">
        <v>113</v>
      </c>
      <c r="E428" t="s">
        <v>11</v>
      </c>
      <c r="F428">
        <v>4</v>
      </c>
      <c r="G428" t="s">
        <v>14</v>
      </c>
    </row>
    <row r="429" spans="1:7" x14ac:dyDescent="0.25">
      <c r="A429">
        <v>36</v>
      </c>
      <c r="B429" t="s">
        <v>148</v>
      </c>
      <c r="C429">
        <v>80</v>
      </c>
      <c r="D429" t="s">
        <v>21</v>
      </c>
      <c r="E429" t="s">
        <v>11</v>
      </c>
      <c r="F429">
        <v>1</v>
      </c>
      <c r="G429" t="s">
        <v>14</v>
      </c>
    </row>
    <row r="430" spans="1:7" x14ac:dyDescent="0.25">
      <c r="A430">
        <v>36</v>
      </c>
      <c r="B430" t="s">
        <v>148</v>
      </c>
      <c r="C430">
        <v>90</v>
      </c>
      <c r="D430" t="s">
        <v>22</v>
      </c>
      <c r="E430" t="s">
        <v>11</v>
      </c>
      <c r="F430">
        <v>1</v>
      </c>
      <c r="G430" t="s">
        <v>14</v>
      </c>
    </row>
    <row r="431" spans="1:7" x14ac:dyDescent="0.25">
      <c r="A431">
        <v>36</v>
      </c>
      <c r="B431" t="s">
        <v>148</v>
      </c>
      <c r="C431">
        <v>100</v>
      </c>
      <c r="D431" t="s">
        <v>23</v>
      </c>
      <c r="E431" t="s">
        <v>11</v>
      </c>
      <c r="F431">
        <v>1</v>
      </c>
      <c r="G431" t="s">
        <v>14</v>
      </c>
    </row>
    <row r="432" spans="1:7" x14ac:dyDescent="0.25">
      <c r="A432">
        <v>36</v>
      </c>
      <c r="B432" t="s">
        <v>148</v>
      </c>
      <c r="C432">
        <v>110</v>
      </c>
      <c r="D432" t="s">
        <v>111</v>
      </c>
      <c r="E432" t="s">
        <v>13</v>
      </c>
      <c r="F432">
        <v>1.27</v>
      </c>
      <c r="G432" t="s">
        <v>14</v>
      </c>
    </row>
    <row r="433" spans="1:7" x14ac:dyDescent="0.25">
      <c r="A433">
        <v>36</v>
      </c>
      <c r="B433" t="s">
        <v>148</v>
      </c>
      <c r="C433">
        <v>120</v>
      </c>
      <c r="D433" t="s">
        <v>188</v>
      </c>
      <c r="E433" t="s">
        <v>11</v>
      </c>
      <c r="F433">
        <v>1</v>
      </c>
      <c r="G433" t="s">
        <v>16</v>
      </c>
    </row>
    <row r="434" spans="1:7" x14ac:dyDescent="0.25">
      <c r="A434">
        <v>37</v>
      </c>
      <c r="B434" t="s">
        <v>149</v>
      </c>
      <c r="C434">
        <v>10</v>
      </c>
      <c r="D434" t="s">
        <v>299</v>
      </c>
      <c r="E434" t="s">
        <v>11</v>
      </c>
      <c r="F434">
        <v>1</v>
      </c>
      <c r="G434" t="s">
        <v>16</v>
      </c>
    </row>
    <row r="435" spans="1:7" x14ac:dyDescent="0.25">
      <c r="A435">
        <v>37</v>
      </c>
      <c r="B435" t="s">
        <v>149</v>
      </c>
      <c r="C435">
        <v>20</v>
      </c>
      <c r="D435" t="s">
        <v>109</v>
      </c>
      <c r="E435" t="s">
        <v>15</v>
      </c>
      <c r="F435">
        <v>2.1589999999999998</v>
      </c>
      <c r="G435" t="s">
        <v>16</v>
      </c>
    </row>
    <row r="436" spans="1:7" x14ac:dyDescent="0.25">
      <c r="A436">
        <v>37</v>
      </c>
      <c r="B436" t="s">
        <v>149</v>
      </c>
      <c r="C436">
        <v>30</v>
      </c>
      <c r="D436" t="s">
        <v>110</v>
      </c>
      <c r="E436" t="s">
        <v>15</v>
      </c>
      <c r="F436">
        <v>2.1589999999999998</v>
      </c>
      <c r="G436" t="s">
        <v>16</v>
      </c>
    </row>
    <row r="437" spans="1:7" x14ac:dyDescent="0.25">
      <c r="A437">
        <v>37</v>
      </c>
      <c r="B437" t="s">
        <v>149</v>
      </c>
      <c r="C437">
        <v>40</v>
      </c>
      <c r="D437" t="s">
        <v>105</v>
      </c>
      <c r="E437" t="s">
        <v>106</v>
      </c>
      <c r="F437">
        <v>0.44500000000000001</v>
      </c>
      <c r="G437" t="s">
        <v>14</v>
      </c>
    </row>
    <row r="438" spans="1:7" x14ac:dyDescent="0.25">
      <c r="A438">
        <v>37</v>
      </c>
      <c r="B438" t="s">
        <v>149</v>
      </c>
      <c r="C438">
        <v>50</v>
      </c>
      <c r="D438" t="s">
        <v>107</v>
      </c>
      <c r="E438" t="s">
        <v>15</v>
      </c>
      <c r="F438">
        <v>14.427</v>
      </c>
      <c r="G438" t="s">
        <v>14</v>
      </c>
    </row>
    <row r="439" spans="1:7" x14ac:dyDescent="0.25">
      <c r="A439">
        <v>37</v>
      </c>
      <c r="B439" t="s">
        <v>149</v>
      </c>
      <c r="C439">
        <v>60</v>
      </c>
      <c r="D439" t="s">
        <v>18</v>
      </c>
      <c r="E439" t="s">
        <v>15</v>
      </c>
      <c r="F439">
        <v>88.727000000000004</v>
      </c>
      <c r="G439" t="s">
        <v>14</v>
      </c>
    </row>
    <row r="440" spans="1:7" x14ac:dyDescent="0.25">
      <c r="A440">
        <v>37</v>
      </c>
      <c r="B440" t="s">
        <v>149</v>
      </c>
      <c r="C440">
        <v>70</v>
      </c>
      <c r="D440" t="s">
        <v>113</v>
      </c>
      <c r="E440" t="s">
        <v>11</v>
      </c>
      <c r="F440">
        <v>4</v>
      </c>
      <c r="G440" t="s">
        <v>14</v>
      </c>
    </row>
    <row r="441" spans="1:7" x14ac:dyDescent="0.25">
      <c r="A441">
        <v>37</v>
      </c>
      <c r="B441" t="s">
        <v>149</v>
      </c>
      <c r="C441">
        <v>80</v>
      </c>
      <c r="D441" t="s">
        <v>21</v>
      </c>
      <c r="E441" t="s">
        <v>11</v>
      </c>
      <c r="F441">
        <v>1</v>
      </c>
      <c r="G441" t="s">
        <v>14</v>
      </c>
    </row>
    <row r="442" spans="1:7" x14ac:dyDescent="0.25">
      <c r="A442">
        <v>37</v>
      </c>
      <c r="B442" t="s">
        <v>149</v>
      </c>
      <c r="C442">
        <v>90</v>
      </c>
      <c r="D442" t="s">
        <v>22</v>
      </c>
      <c r="E442" t="s">
        <v>11</v>
      </c>
      <c r="F442">
        <v>1</v>
      </c>
      <c r="G442" t="s">
        <v>14</v>
      </c>
    </row>
    <row r="443" spans="1:7" x14ac:dyDescent="0.25">
      <c r="A443">
        <v>37</v>
      </c>
      <c r="B443" t="s">
        <v>149</v>
      </c>
      <c r="C443">
        <v>100</v>
      </c>
      <c r="D443" t="s">
        <v>23</v>
      </c>
      <c r="E443" t="s">
        <v>11</v>
      </c>
      <c r="F443">
        <v>1</v>
      </c>
      <c r="G443" t="s">
        <v>14</v>
      </c>
    </row>
    <row r="444" spans="1:7" x14ac:dyDescent="0.25">
      <c r="A444">
        <v>37</v>
      </c>
      <c r="B444" t="s">
        <v>149</v>
      </c>
      <c r="C444">
        <v>110</v>
      </c>
      <c r="D444" t="s">
        <v>111</v>
      </c>
      <c r="E444" t="s">
        <v>13</v>
      </c>
      <c r="F444">
        <v>1.27</v>
      </c>
      <c r="G444" t="s">
        <v>14</v>
      </c>
    </row>
    <row r="445" spans="1:7" x14ac:dyDescent="0.25">
      <c r="A445">
        <v>37</v>
      </c>
      <c r="B445" t="s">
        <v>149</v>
      </c>
      <c r="C445">
        <v>120</v>
      </c>
      <c r="D445" t="s">
        <v>189</v>
      </c>
      <c r="E445" t="s">
        <v>11</v>
      </c>
      <c r="F445">
        <v>1</v>
      </c>
      <c r="G445" t="s">
        <v>16</v>
      </c>
    </row>
    <row r="446" spans="1:7" x14ac:dyDescent="0.25">
      <c r="A446">
        <v>38</v>
      </c>
      <c r="B446" t="s">
        <v>150</v>
      </c>
      <c r="C446">
        <v>10</v>
      </c>
      <c r="D446" t="s">
        <v>300</v>
      </c>
      <c r="E446" t="s">
        <v>11</v>
      </c>
      <c r="F446">
        <v>1</v>
      </c>
      <c r="G446" t="s">
        <v>16</v>
      </c>
    </row>
    <row r="447" spans="1:7" x14ac:dyDescent="0.25">
      <c r="A447">
        <v>38</v>
      </c>
      <c r="B447" t="s">
        <v>150</v>
      </c>
      <c r="C447">
        <v>20</v>
      </c>
      <c r="D447" t="s">
        <v>109</v>
      </c>
      <c r="E447" t="s">
        <v>15</v>
      </c>
      <c r="F447">
        <v>2.1589999999999998</v>
      </c>
      <c r="G447" t="s">
        <v>16</v>
      </c>
    </row>
    <row r="448" spans="1:7" x14ac:dyDescent="0.25">
      <c r="A448">
        <v>38</v>
      </c>
      <c r="B448" t="s">
        <v>150</v>
      </c>
      <c r="C448">
        <v>30</v>
      </c>
      <c r="D448" t="s">
        <v>110</v>
      </c>
      <c r="E448" t="s">
        <v>15</v>
      </c>
      <c r="F448">
        <v>2.1589999999999998</v>
      </c>
      <c r="G448" t="s">
        <v>16</v>
      </c>
    </row>
    <row r="449" spans="1:7" x14ac:dyDescent="0.25">
      <c r="A449">
        <v>38</v>
      </c>
      <c r="B449" t="s">
        <v>150</v>
      </c>
      <c r="C449">
        <v>40</v>
      </c>
      <c r="D449" t="s">
        <v>105</v>
      </c>
      <c r="E449" t="s">
        <v>106</v>
      </c>
      <c r="F449">
        <v>0.47099999999999997</v>
      </c>
      <c r="G449" t="s">
        <v>14</v>
      </c>
    </row>
    <row r="450" spans="1:7" x14ac:dyDescent="0.25">
      <c r="A450">
        <v>38</v>
      </c>
      <c r="B450" t="s">
        <v>150</v>
      </c>
      <c r="C450">
        <v>50</v>
      </c>
      <c r="D450" t="s">
        <v>107</v>
      </c>
      <c r="E450" t="s">
        <v>15</v>
      </c>
      <c r="F450">
        <v>14.731999999999999</v>
      </c>
      <c r="G450" t="s">
        <v>14</v>
      </c>
    </row>
    <row r="451" spans="1:7" x14ac:dyDescent="0.25">
      <c r="A451">
        <v>38</v>
      </c>
      <c r="B451" t="s">
        <v>150</v>
      </c>
      <c r="C451">
        <v>60</v>
      </c>
      <c r="D451" t="s">
        <v>18</v>
      </c>
      <c r="E451" t="s">
        <v>15</v>
      </c>
      <c r="F451">
        <v>90.602000000000004</v>
      </c>
      <c r="G451" t="s">
        <v>14</v>
      </c>
    </row>
    <row r="452" spans="1:7" x14ac:dyDescent="0.25">
      <c r="A452">
        <v>38</v>
      </c>
      <c r="B452" t="s">
        <v>150</v>
      </c>
      <c r="C452">
        <v>70</v>
      </c>
      <c r="D452" t="s">
        <v>113</v>
      </c>
      <c r="E452" t="s">
        <v>11</v>
      </c>
      <c r="F452">
        <v>4</v>
      </c>
      <c r="G452" t="s">
        <v>14</v>
      </c>
    </row>
    <row r="453" spans="1:7" x14ac:dyDescent="0.25">
      <c r="A453">
        <v>38</v>
      </c>
      <c r="B453" t="s">
        <v>150</v>
      </c>
      <c r="C453">
        <v>80</v>
      </c>
      <c r="D453" t="s">
        <v>21</v>
      </c>
      <c r="E453" t="s">
        <v>11</v>
      </c>
      <c r="F453">
        <v>1</v>
      </c>
      <c r="G453" t="s">
        <v>14</v>
      </c>
    </row>
    <row r="454" spans="1:7" x14ac:dyDescent="0.25">
      <c r="A454">
        <v>38</v>
      </c>
      <c r="B454" t="s">
        <v>150</v>
      </c>
      <c r="C454">
        <v>90</v>
      </c>
      <c r="D454" t="s">
        <v>22</v>
      </c>
      <c r="E454" t="s">
        <v>11</v>
      </c>
      <c r="F454">
        <v>1</v>
      </c>
      <c r="G454" t="s">
        <v>14</v>
      </c>
    </row>
    <row r="455" spans="1:7" x14ac:dyDescent="0.25">
      <c r="A455">
        <v>38</v>
      </c>
      <c r="B455" t="s">
        <v>150</v>
      </c>
      <c r="C455">
        <v>100</v>
      </c>
      <c r="D455" t="s">
        <v>23</v>
      </c>
      <c r="E455" t="s">
        <v>11</v>
      </c>
      <c r="F455">
        <v>1</v>
      </c>
      <c r="G455" t="s">
        <v>14</v>
      </c>
    </row>
    <row r="456" spans="1:7" x14ac:dyDescent="0.25">
      <c r="A456">
        <v>38</v>
      </c>
      <c r="B456" t="s">
        <v>150</v>
      </c>
      <c r="C456">
        <v>110</v>
      </c>
      <c r="D456" t="s">
        <v>111</v>
      </c>
      <c r="E456" t="s">
        <v>13</v>
      </c>
      <c r="F456">
        <v>1.27</v>
      </c>
      <c r="G456" t="s">
        <v>14</v>
      </c>
    </row>
    <row r="457" spans="1:7" x14ac:dyDescent="0.25">
      <c r="A457">
        <v>38</v>
      </c>
      <c r="B457" t="s">
        <v>150</v>
      </c>
      <c r="C457">
        <v>120</v>
      </c>
      <c r="D457" t="s">
        <v>190</v>
      </c>
      <c r="E457" t="s">
        <v>11</v>
      </c>
      <c r="F457">
        <v>1</v>
      </c>
      <c r="G457" t="s">
        <v>16</v>
      </c>
    </row>
    <row r="458" spans="1:7" x14ac:dyDescent="0.25">
      <c r="A458">
        <v>39</v>
      </c>
      <c r="B458" t="s">
        <v>151</v>
      </c>
      <c r="C458">
        <v>10</v>
      </c>
      <c r="D458" t="s">
        <v>301</v>
      </c>
      <c r="E458" t="s">
        <v>11</v>
      </c>
      <c r="F458">
        <v>1</v>
      </c>
      <c r="G458" t="s">
        <v>16</v>
      </c>
    </row>
    <row r="459" spans="1:7" x14ac:dyDescent="0.25">
      <c r="A459">
        <v>39</v>
      </c>
      <c r="B459" t="s">
        <v>151</v>
      </c>
      <c r="C459">
        <v>20</v>
      </c>
      <c r="D459" t="s">
        <v>109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39</v>
      </c>
      <c r="B460" t="s">
        <v>151</v>
      </c>
      <c r="C460">
        <v>30</v>
      </c>
      <c r="D460" t="s">
        <v>110</v>
      </c>
      <c r="E460" t="s">
        <v>15</v>
      </c>
      <c r="F460">
        <v>2.1589999999999998</v>
      </c>
      <c r="G460" t="s">
        <v>16</v>
      </c>
    </row>
    <row r="461" spans="1:7" x14ac:dyDescent="0.25">
      <c r="A461">
        <v>39</v>
      </c>
      <c r="B461" t="s">
        <v>151</v>
      </c>
      <c r="C461">
        <v>40</v>
      </c>
      <c r="D461" t="s">
        <v>105</v>
      </c>
      <c r="E461" t="s">
        <v>106</v>
      </c>
      <c r="F461">
        <v>0.52100000000000002</v>
      </c>
      <c r="G461" t="s">
        <v>14</v>
      </c>
    </row>
    <row r="462" spans="1:7" x14ac:dyDescent="0.25">
      <c r="A462">
        <v>39</v>
      </c>
      <c r="B462" t="s">
        <v>151</v>
      </c>
      <c r="C462">
        <v>50</v>
      </c>
      <c r="D462" t="s">
        <v>107</v>
      </c>
      <c r="E462" t="s">
        <v>15</v>
      </c>
      <c r="F462">
        <v>15.342000000000001</v>
      </c>
      <c r="G462" t="s">
        <v>14</v>
      </c>
    </row>
    <row r="463" spans="1:7" x14ac:dyDescent="0.25">
      <c r="A463">
        <v>39</v>
      </c>
      <c r="B463" t="s">
        <v>151</v>
      </c>
      <c r="C463">
        <v>60</v>
      </c>
      <c r="D463" t="s">
        <v>18</v>
      </c>
      <c r="E463" t="s">
        <v>15</v>
      </c>
      <c r="F463">
        <v>94.350999999999999</v>
      </c>
      <c r="G463" t="s">
        <v>14</v>
      </c>
    </row>
    <row r="464" spans="1:7" x14ac:dyDescent="0.25">
      <c r="A464">
        <v>39</v>
      </c>
      <c r="B464" t="s">
        <v>151</v>
      </c>
      <c r="C464">
        <v>70</v>
      </c>
      <c r="D464" t="s">
        <v>113</v>
      </c>
      <c r="E464" t="s">
        <v>11</v>
      </c>
      <c r="F464">
        <v>4</v>
      </c>
      <c r="G464" t="s">
        <v>14</v>
      </c>
    </row>
    <row r="465" spans="1:7" x14ac:dyDescent="0.25">
      <c r="A465">
        <v>39</v>
      </c>
      <c r="B465" t="s">
        <v>151</v>
      </c>
      <c r="C465">
        <v>80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39</v>
      </c>
      <c r="B466" t="s">
        <v>151</v>
      </c>
      <c r="C466">
        <v>90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39</v>
      </c>
      <c r="B467" t="s">
        <v>151</v>
      </c>
      <c r="C467">
        <v>100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39</v>
      </c>
      <c r="B468" t="s">
        <v>151</v>
      </c>
      <c r="C468">
        <v>110</v>
      </c>
      <c r="D468" t="s">
        <v>111</v>
      </c>
      <c r="E468" t="s">
        <v>13</v>
      </c>
      <c r="F468">
        <v>1.27</v>
      </c>
      <c r="G468" t="s">
        <v>14</v>
      </c>
    </row>
    <row r="469" spans="1:7" x14ac:dyDescent="0.25">
      <c r="A469">
        <v>39</v>
      </c>
      <c r="B469" t="s">
        <v>151</v>
      </c>
      <c r="C469">
        <v>120</v>
      </c>
      <c r="D469" t="s">
        <v>191</v>
      </c>
      <c r="E469" t="s">
        <v>11</v>
      </c>
      <c r="F469">
        <v>1</v>
      </c>
      <c r="G469" t="s">
        <v>16</v>
      </c>
    </row>
    <row r="470" spans="1:7" x14ac:dyDescent="0.25">
      <c r="A470">
        <v>40</v>
      </c>
      <c r="B470" t="s">
        <v>152</v>
      </c>
      <c r="C470">
        <v>10</v>
      </c>
      <c r="D470" t="s">
        <v>302</v>
      </c>
      <c r="E470" t="s">
        <v>11</v>
      </c>
      <c r="F470">
        <v>1</v>
      </c>
      <c r="G470" t="s">
        <v>16</v>
      </c>
    </row>
    <row r="471" spans="1:7" x14ac:dyDescent="0.25">
      <c r="A471">
        <v>40</v>
      </c>
      <c r="B471" t="s">
        <v>152</v>
      </c>
      <c r="C471">
        <v>20</v>
      </c>
      <c r="D471" t="s">
        <v>109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40</v>
      </c>
      <c r="B472" t="s">
        <v>152</v>
      </c>
      <c r="C472">
        <v>30</v>
      </c>
      <c r="D472" t="s">
        <v>110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40</v>
      </c>
      <c r="B473" t="s">
        <v>152</v>
      </c>
      <c r="C473">
        <v>40</v>
      </c>
      <c r="D473" t="s">
        <v>105</v>
      </c>
      <c r="E473" t="s">
        <v>106</v>
      </c>
      <c r="F473">
        <v>0.57099999999999995</v>
      </c>
      <c r="G473" t="s">
        <v>14</v>
      </c>
    </row>
    <row r="474" spans="1:7" x14ac:dyDescent="0.25">
      <c r="A474">
        <v>40</v>
      </c>
      <c r="B474" t="s">
        <v>152</v>
      </c>
      <c r="C474">
        <v>50</v>
      </c>
      <c r="D474" t="s">
        <v>107</v>
      </c>
      <c r="E474" t="s">
        <v>15</v>
      </c>
      <c r="F474">
        <v>15.951000000000001</v>
      </c>
      <c r="G474" t="s">
        <v>14</v>
      </c>
    </row>
    <row r="475" spans="1:7" x14ac:dyDescent="0.25">
      <c r="A475">
        <v>40</v>
      </c>
      <c r="B475" t="s">
        <v>152</v>
      </c>
      <c r="C475">
        <v>60</v>
      </c>
      <c r="D475" t="s">
        <v>18</v>
      </c>
      <c r="E475" t="s">
        <v>15</v>
      </c>
      <c r="F475">
        <v>98.1</v>
      </c>
      <c r="G475" t="s">
        <v>14</v>
      </c>
    </row>
    <row r="476" spans="1:7" x14ac:dyDescent="0.25">
      <c r="A476">
        <v>40</v>
      </c>
      <c r="B476" t="s">
        <v>152</v>
      </c>
      <c r="C476">
        <v>70</v>
      </c>
      <c r="D476" t="s">
        <v>113</v>
      </c>
      <c r="E476" t="s">
        <v>11</v>
      </c>
      <c r="F476">
        <v>4</v>
      </c>
      <c r="G476" t="s">
        <v>14</v>
      </c>
    </row>
    <row r="477" spans="1:7" x14ac:dyDescent="0.25">
      <c r="A477">
        <v>40</v>
      </c>
      <c r="B477" t="s">
        <v>152</v>
      </c>
      <c r="C477">
        <v>80</v>
      </c>
      <c r="D477" t="s">
        <v>21</v>
      </c>
      <c r="E477" t="s">
        <v>11</v>
      </c>
      <c r="F477">
        <v>1</v>
      </c>
      <c r="G477" t="s">
        <v>14</v>
      </c>
    </row>
    <row r="478" spans="1:7" x14ac:dyDescent="0.25">
      <c r="A478">
        <v>40</v>
      </c>
      <c r="B478" t="s">
        <v>152</v>
      </c>
      <c r="C478">
        <v>90</v>
      </c>
      <c r="D478" t="s">
        <v>22</v>
      </c>
      <c r="E478" t="s">
        <v>11</v>
      </c>
      <c r="F478">
        <v>1</v>
      </c>
      <c r="G478" t="s">
        <v>14</v>
      </c>
    </row>
    <row r="479" spans="1:7" x14ac:dyDescent="0.25">
      <c r="A479">
        <v>40</v>
      </c>
      <c r="B479" t="s">
        <v>152</v>
      </c>
      <c r="C479">
        <v>100</v>
      </c>
      <c r="D479" t="s">
        <v>23</v>
      </c>
      <c r="E479" t="s">
        <v>11</v>
      </c>
      <c r="F479">
        <v>1</v>
      </c>
      <c r="G479" t="s">
        <v>14</v>
      </c>
    </row>
    <row r="480" spans="1:7" x14ac:dyDescent="0.25">
      <c r="A480">
        <v>40</v>
      </c>
      <c r="B480" t="s">
        <v>152</v>
      </c>
      <c r="C480">
        <v>110</v>
      </c>
      <c r="D480" t="s">
        <v>111</v>
      </c>
      <c r="E480" t="s">
        <v>13</v>
      </c>
      <c r="F480">
        <v>1.27</v>
      </c>
      <c r="G480" t="s">
        <v>14</v>
      </c>
    </row>
    <row r="481" spans="1:7" x14ac:dyDescent="0.25">
      <c r="A481">
        <v>40</v>
      </c>
      <c r="B481" t="s">
        <v>152</v>
      </c>
      <c r="C481">
        <v>120</v>
      </c>
      <c r="D481" t="s">
        <v>192</v>
      </c>
      <c r="E481" t="s">
        <v>11</v>
      </c>
      <c r="F481">
        <v>1</v>
      </c>
      <c r="G481" t="s">
        <v>16</v>
      </c>
    </row>
    <row r="482" spans="1:7" x14ac:dyDescent="0.25">
      <c r="A482">
        <v>41</v>
      </c>
      <c r="B482" t="s">
        <v>193</v>
      </c>
      <c r="C482">
        <v>10</v>
      </c>
      <c r="D482" t="s">
        <v>303</v>
      </c>
      <c r="E482" t="s">
        <v>11</v>
      </c>
      <c r="F482">
        <v>1</v>
      </c>
      <c r="G482" t="s">
        <v>16</v>
      </c>
    </row>
    <row r="483" spans="1:7" x14ac:dyDescent="0.25">
      <c r="A483">
        <v>41</v>
      </c>
      <c r="B483" t="s">
        <v>193</v>
      </c>
      <c r="C483">
        <v>20</v>
      </c>
      <c r="D483" t="s">
        <v>109</v>
      </c>
      <c r="E483" t="s">
        <v>15</v>
      </c>
      <c r="F483">
        <v>0.78700000000000003</v>
      </c>
      <c r="G483" t="s">
        <v>16</v>
      </c>
    </row>
    <row r="484" spans="1:7" x14ac:dyDescent="0.25">
      <c r="A484">
        <v>41</v>
      </c>
      <c r="B484" t="s">
        <v>193</v>
      </c>
      <c r="C484">
        <v>30</v>
      </c>
      <c r="D484" t="s">
        <v>110</v>
      </c>
      <c r="E484" t="s">
        <v>15</v>
      </c>
      <c r="F484">
        <v>0.78700000000000003</v>
      </c>
      <c r="G484" t="s">
        <v>16</v>
      </c>
    </row>
    <row r="485" spans="1:7" x14ac:dyDescent="0.25">
      <c r="A485">
        <v>41</v>
      </c>
      <c r="B485" t="s">
        <v>193</v>
      </c>
      <c r="C485">
        <v>40</v>
      </c>
      <c r="D485" t="s">
        <v>105</v>
      </c>
      <c r="E485" t="s">
        <v>106</v>
      </c>
      <c r="F485">
        <v>0.20799999999999999</v>
      </c>
      <c r="G485" t="s">
        <v>14</v>
      </c>
    </row>
    <row r="486" spans="1:7" x14ac:dyDescent="0.25">
      <c r="A486">
        <v>41</v>
      </c>
      <c r="B486" t="s">
        <v>193</v>
      </c>
      <c r="C486">
        <v>50</v>
      </c>
      <c r="D486" t="s">
        <v>107</v>
      </c>
      <c r="E486" t="s">
        <v>15</v>
      </c>
      <c r="F486">
        <v>10.77</v>
      </c>
      <c r="G486" t="s">
        <v>14</v>
      </c>
    </row>
    <row r="487" spans="1:7" x14ac:dyDescent="0.25">
      <c r="A487">
        <v>41</v>
      </c>
      <c r="B487" t="s">
        <v>193</v>
      </c>
      <c r="C487">
        <v>60</v>
      </c>
      <c r="D487" t="s">
        <v>18</v>
      </c>
      <c r="E487" t="s">
        <v>15</v>
      </c>
      <c r="F487">
        <v>66.233000000000004</v>
      </c>
      <c r="G487" t="s">
        <v>14</v>
      </c>
    </row>
    <row r="488" spans="1:7" x14ac:dyDescent="0.25">
      <c r="A488">
        <v>41</v>
      </c>
      <c r="B488" t="s">
        <v>193</v>
      </c>
      <c r="C488">
        <v>70</v>
      </c>
      <c r="D488" t="s">
        <v>113</v>
      </c>
      <c r="E488" t="s">
        <v>11</v>
      </c>
      <c r="F488">
        <v>4</v>
      </c>
      <c r="G488" t="s">
        <v>14</v>
      </c>
    </row>
    <row r="489" spans="1:7" x14ac:dyDescent="0.25">
      <c r="A489">
        <v>41</v>
      </c>
      <c r="B489" t="s">
        <v>193</v>
      </c>
      <c r="C489">
        <v>80</v>
      </c>
      <c r="D489" t="s">
        <v>21</v>
      </c>
      <c r="E489" t="s">
        <v>11</v>
      </c>
      <c r="F489">
        <v>1</v>
      </c>
      <c r="G489" t="s">
        <v>14</v>
      </c>
    </row>
    <row r="490" spans="1:7" x14ac:dyDescent="0.25">
      <c r="A490">
        <v>41</v>
      </c>
      <c r="B490" t="s">
        <v>193</v>
      </c>
      <c r="C490">
        <v>90</v>
      </c>
      <c r="D490" t="s">
        <v>22</v>
      </c>
      <c r="E490" t="s">
        <v>11</v>
      </c>
      <c r="F490">
        <v>1</v>
      </c>
      <c r="G490" t="s">
        <v>14</v>
      </c>
    </row>
    <row r="491" spans="1:7" x14ac:dyDescent="0.25">
      <c r="A491">
        <v>41</v>
      </c>
      <c r="B491" t="s">
        <v>193</v>
      </c>
      <c r="C491">
        <v>100</v>
      </c>
      <c r="D491" t="s">
        <v>23</v>
      </c>
      <c r="E491" t="s">
        <v>11</v>
      </c>
      <c r="F491">
        <v>1</v>
      </c>
      <c r="G491" t="s">
        <v>14</v>
      </c>
    </row>
    <row r="492" spans="1:7" x14ac:dyDescent="0.25">
      <c r="A492">
        <v>41</v>
      </c>
      <c r="B492" t="s">
        <v>193</v>
      </c>
      <c r="C492">
        <v>110</v>
      </c>
      <c r="D492" t="s">
        <v>111</v>
      </c>
      <c r="E492" t="s">
        <v>13</v>
      </c>
      <c r="F492">
        <v>0.54</v>
      </c>
      <c r="G492" t="s">
        <v>14</v>
      </c>
    </row>
    <row r="493" spans="1:7" x14ac:dyDescent="0.25">
      <c r="A493">
        <v>41</v>
      </c>
      <c r="B493" t="s">
        <v>193</v>
      </c>
      <c r="C493">
        <v>120</v>
      </c>
      <c r="D493" t="s">
        <v>194</v>
      </c>
      <c r="E493" t="s">
        <v>11</v>
      </c>
      <c r="F493">
        <v>1</v>
      </c>
      <c r="G493" t="s">
        <v>16</v>
      </c>
    </row>
    <row r="494" spans="1:7" x14ac:dyDescent="0.25">
      <c r="A494">
        <v>42</v>
      </c>
      <c r="B494" t="s">
        <v>195</v>
      </c>
      <c r="C494">
        <v>10</v>
      </c>
      <c r="D494" t="s">
        <v>304</v>
      </c>
      <c r="E494" t="s">
        <v>11</v>
      </c>
      <c r="F494">
        <v>1</v>
      </c>
      <c r="G494" t="s">
        <v>16</v>
      </c>
    </row>
    <row r="495" spans="1:7" x14ac:dyDescent="0.25">
      <c r="A495">
        <v>42</v>
      </c>
      <c r="B495" t="s">
        <v>195</v>
      </c>
      <c r="C495">
        <v>20</v>
      </c>
      <c r="D495" t="s">
        <v>109</v>
      </c>
      <c r="E495" t="s">
        <v>15</v>
      </c>
      <c r="F495">
        <v>0.94</v>
      </c>
      <c r="G495" t="s">
        <v>16</v>
      </c>
    </row>
    <row r="496" spans="1:7" x14ac:dyDescent="0.25">
      <c r="A496">
        <v>42</v>
      </c>
      <c r="B496" t="s">
        <v>195</v>
      </c>
      <c r="C496">
        <v>30</v>
      </c>
      <c r="D496" t="s">
        <v>110</v>
      </c>
      <c r="E496" t="s">
        <v>15</v>
      </c>
      <c r="F496">
        <v>0.94</v>
      </c>
      <c r="G496" t="s">
        <v>16</v>
      </c>
    </row>
    <row r="497" spans="1:7" x14ac:dyDescent="0.25">
      <c r="A497">
        <v>42</v>
      </c>
      <c r="B497" t="s">
        <v>195</v>
      </c>
      <c r="C497">
        <v>40</v>
      </c>
      <c r="D497" t="s">
        <v>105</v>
      </c>
      <c r="E497" t="s">
        <v>106</v>
      </c>
      <c r="F497">
        <v>0.252</v>
      </c>
      <c r="G497" t="s">
        <v>14</v>
      </c>
    </row>
    <row r="498" spans="1:7" x14ac:dyDescent="0.25">
      <c r="A498">
        <v>42</v>
      </c>
      <c r="B498" t="s">
        <v>195</v>
      </c>
      <c r="C498">
        <v>50</v>
      </c>
      <c r="D498" t="s">
        <v>107</v>
      </c>
      <c r="E498" t="s">
        <v>15</v>
      </c>
      <c r="F498">
        <v>11.379</v>
      </c>
      <c r="G498" t="s">
        <v>14</v>
      </c>
    </row>
    <row r="499" spans="1:7" x14ac:dyDescent="0.25">
      <c r="A499">
        <v>42</v>
      </c>
      <c r="B499" t="s">
        <v>195</v>
      </c>
      <c r="C499">
        <v>60</v>
      </c>
      <c r="D499" t="s">
        <v>18</v>
      </c>
      <c r="E499" t="s">
        <v>15</v>
      </c>
      <c r="F499">
        <v>69.981999999999999</v>
      </c>
      <c r="G499" t="s">
        <v>14</v>
      </c>
    </row>
    <row r="500" spans="1:7" x14ac:dyDescent="0.25">
      <c r="A500">
        <v>42</v>
      </c>
      <c r="B500" t="s">
        <v>195</v>
      </c>
      <c r="C500">
        <v>70</v>
      </c>
      <c r="D500" t="s">
        <v>113</v>
      </c>
      <c r="E500" t="s">
        <v>11</v>
      </c>
      <c r="F500">
        <v>4</v>
      </c>
      <c r="G500" t="s">
        <v>14</v>
      </c>
    </row>
    <row r="501" spans="1:7" x14ac:dyDescent="0.25">
      <c r="A501">
        <v>42</v>
      </c>
      <c r="B501" t="s">
        <v>195</v>
      </c>
      <c r="C501">
        <v>80</v>
      </c>
      <c r="D501" t="s">
        <v>21</v>
      </c>
      <c r="E501" t="s">
        <v>11</v>
      </c>
      <c r="F501">
        <v>1</v>
      </c>
      <c r="G501" t="s">
        <v>14</v>
      </c>
    </row>
    <row r="502" spans="1:7" x14ac:dyDescent="0.25">
      <c r="A502">
        <v>42</v>
      </c>
      <c r="B502" t="s">
        <v>195</v>
      </c>
      <c r="C502">
        <v>90</v>
      </c>
      <c r="D502" t="s">
        <v>22</v>
      </c>
      <c r="E502" t="s">
        <v>11</v>
      </c>
      <c r="F502">
        <v>1</v>
      </c>
      <c r="G502" t="s">
        <v>14</v>
      </c>
    </row>
    <row r="503" spans="1:7" x14ac:dyDescent="0.25">
      <c r="A503">
        <v>42</v>
      </c>
      <c r="B503" t="s">
        <v>195</v>
      </c>
      <c r="C503">
        <v>100</v>
      </c>
      <c r="D503" t="s">
        <v>23</v>
      </c>
      <c r="E503" t="s">
        <v>11</v>
      </c>
      <c r="F503">
        <v>1</v>
      </c>
      <c r="G503" t="s">
        <v>14</v>
      </c>
    </row>
    <row r="504" spans="1:7" x14ac:dyDescent="0.25">
      <c r="A504">
        <v>42</v>
      </c>
      <c r="B504" t="s">
        <v>195</v>
      </c>
      <c r="C504">
        <v>110</v>
      </c>
      <c r="D504" t="s">
        <v>111</v>
      </c>
      <c r="E504" t="s">
        <v>13</v>
      </c>
      <c r="F504">
        <v>0.622</v>
      </c>
      <c r="G504" t="s">
        <v>14</v>
      </c>
    </row>
    <row r="505" spans="1:7" x14ac:dyDescent="0.25">
      <c r="A505">
        <v>42</v>
      </c>
      <c r="B505" t="s">
        <v>195</v>
      </c>
      <c r="C505">
        <v>120</v>
      </c>
      <c r="D505" t="s">
        <v>196</v>
      </c>
      <c r="E505" t="s">
        <v>11</v>
      </c>
      <c r="F505">
        <v>1</v>
      </c>
      <c r="G505" t="s">
        <v>16</v>
      </c>
    </row>
    <row r="506" spans="1:7" x14ac:dyDescent="0.25">
      <c r="A506">
        <v>43</v>
      </c>
      <c r="B506" t="s">
        <v>197</v>
      </c>
      <c r="C506">
        <v>10</v>
      </c>
      <c r="D506" t="s">
        <v>305</v>
      </c>
      <c r="E506" t="s">
        <v>11</v>
      </c>
      <c r="F506">
        <v>1</v>
      </c>
      <c r="G506" t="s">
        <v>16</v>
      </c>
    </row>
    <row r="507" spans="1:7" x14ac:dyDescent="0.25">
      <c r="A507">
        <v>43</v>
      </c>
      <c r="B507" t="s">
        <v>197</v>
      </c>
      <c r="C507">
        <v>20</v>
      </c>
      <c r="D507" t="s">
        <v>109</v>
      </c>
      <c r="E507" t="s">
        <v>15</v>
      </c>
      <c r="F507">
        <v>1.0920000000000001</v>
      </c>
      <c r="G507" t="s">
        <v>16</v>
      </c>
    </row>
    <row r="508" spans="1:7" x14ac:dyDescent="0.25">
      <c r="A508">
        <v>43</v>
      </c>
      <c r="B508" t="s">
        <v>197</v>
      </c>
      <c r="C508">
        <v>30</v>
      </c>
      <c r="D508" t="s">
        <v>110</v>
      </c>
      <c r="E508" t="s">
        <v>15</v>
      </c>
      <c r="F508">
        <v>1.0920000000000001</v>
      </c>
      <c r="G508" t="s">
        <v>16</v>
      </c>
    </row>
    <row r="509" spans="1:7" x14ac:dyDescent="0.25">
      <c r="A509">
        <v>43</v>
      </c>
      <c r="B509" t="s">
        <v>197</v>
      </c>
      <c r="C509">
        <v>40</v>
      </c>
      <c r="D509" t="s">
        <v>105</v>
      </c>
      <c r="E509" t="s">
        <v>106</v>
      </c>
      <c r="F509">
        <v>0.29499999999999998</v>
      </c>
      <c r="G509" t="s">
        <v>14</v>
      </c>
    </row>
    <row r="510" spans="1:7" x14ac:dyDescent="0.25">
      <c r="A510">
        <v>43</v>
      </c>
      <c r="B510" t="s">
        <v>197</v>
      </c>
      <c r="C510">
        <v>50</v>
      </c>
      <c r="D510" t="s">
        <v>107</v>
      </c>
      <c r="E510" t="s">
        <v>15</v>
      </c>
      <c r="F510">
        <v>11.989000000000001</v>
      </c>
      <c r="G510" t="s">
        <v>14</v>
      </c>
    </row>
    <row r="511" spans="1:7" x14ac:dyDescent="0.25">
      <c r="A511">
        <v>43</v>
      </c>
      <c r="B511" t="s">
        <v>197</v>
      </c>
      <c r="C511">
        <v>60</v>
      </c>
      <c r="D511" t="s">
        <v>18</v>
      </c>
      <c r="E511" t="s">
        <v>15</v>
      </c>
      <c r="F511">
        <v>73.730999999999995</v>
      </c>
      <c r="G511" t="s">
        <v>14</v>
      </c>
    </row>
    <row r="512" spans="1:7" x14ac:dyDescent="0.25">
      <c r="A512">
        <v>43</v>
      </c>
      <c r="B512" t="s">
        <v>197</v>
      </c>
      <c r="C512">
        <v>70</v>
      </c>
      <c r="D512" t="s">
        <v>113</v>
      </c>
      <c r="E512" t="s">
        <v>11</v>
      </c>
      <c r="F512">
        <v>4</v>
      </c>
      <c r="G512" t="s">
        <v>14</v>
      </c>
    </row>
    <row r="513" spans="1:7" x14ac:dyDescent="0.25">
      <c r="A513">
        <v>43</v>
      </c>
      <c r="B513" t="s">
        <v>197</v>
      </c>
      <c r="C513">
        <v>80</v>
      </c>
      <c r="D513" t="s">
        <v>21</v>
      </c>
      <c r="E513" t="s">
        <v>11</v>
      </c>
      <c r="F513">
        <v>1</v>
      </c>
      <c r="G513" t="s">
        <v>14</v>
      </c>
    </row>
    <row r="514" spans="1:7" x14ac:dyDescent="0.25">
      <c r="A514">
        <v>43</v>
      </c>
      <c r="B514" t="s">
        <v>197</v>
      </c>
      <c r="C514">
        <v>90</v>
      </c>
      <c r="D514" t="s">
        <v>22</v>
      </c>
      <c r="E514" t="s">
        <v>11</v>
      </c>
      <c r="F514">
        <v>1</v>
      </c>
      <c r="G514" t="s">
        <v>14</v>
      </c>
    </row>
    <row r="515" spans="1:7" x14ac:dyDescent="0.25">
      <c r="A515">
        <v>43</v>
      </c>
      <c r="B515" t="s">
        <v>197</v>
      </c>
      <c r="C515">
        <v>100</v>
      </c>
      <c r="D515" t="s">
        <v>23</v>
      </c>
      <c r="E515" t="s">
        <v>11</v>
      </c>
      <c r="F515">
        <v>1</v>
      </c>
      <c r="G515" t="s">
        <v>14</v>
      </c>
    </row>
    <row r="516" spans="1:7" x14ac:dyDescent="0.25">
      <c r="A516">
        <v>43</v>
      </c>
      <c r="B516" t="s">
        <v>197</v>
      </c>
      <c r="C516">
        <v>110</v>
      </c>
      <c r="D516" t="s">
        <v>111</v>
      </c>
      <c r="E516" t="s">
        <v>13</v>
      </c>
      <c r="F516">
        <v>0.70299999999999996</v>
      </c>
      <c r="G516" t="s">
        <v>14</v>
      </c>
    </row>
    <row r="517" spans="1:7" x14ac:dyDescent="0.25">
      <c r="A517">
        <v>43</v>
      </c>
      <c r="B517" t="s">
        <v>197</v>
      </c>
      <c r="C517">
        <v>120</v>
      </c>
      <c r="D517" t="s">
        <v>198</v>
      </c>
      <c r="E517" t="s">
        <v>11</v>
      </c>
      <c r="F517">
        <v>1</v>
      </c>
      <c r="G517" t="s">
        <v>16</v>
      </c>
    </row>
    <row r="518" spans="1:7" x14ac:dyDescent="0.25">
      <c r="A518">
        <v>44</v>
      </c>
      <c r="B518" t="s">
        <v>199</v>
      </c>
      <c r="C518">
        <v>10</v>
      </c>
      <c r="D518" t="s">
        <v>306</v>
      </c>
      <c r="E518" t="s">
        <v>11</v>
      </c>
      <c r="F518">
        <v>1</v>
      </c>
      <c r="G518" t="s">
        <v>16</v>
      </c>
    </row>
    <row r="519" spans="1:7" x14ac:dyDescent="0.25">
      <c r="A519">
        <v>44</v>
      </c>
      <c r="B519" t="s">
        <v>199</v>
      </c>
      <c r="C519">
        <v>20</v>
      </c>
      <c r="D519" t="s">
        <v>109</v>
      </c>
      <c r="E519" t="s">
        <v>15</v>
      </c>
      <c r="F519">
        <v>1.2450000000000001</v>
      </c>
      <c r="G519" t="s">
        <v>16</v>
      </c>
    </row>
    <row r="520" spans="1:7" x14ac:dyDescent="0.25">
      <c r="A520">
        <v>44</v>
      </c>
      <c r="B520" t="s">
        <v>199</v>
      </c>
      <c r="C520">
        <v>30</v>
      </c>
      <c r="D520" t="s">
        <v>110</v>
      </c>
      <c r="E520" t="s">
        <v>15</v>
      </c>
      <c r="F520">
        <v>1.2450000000000001</v>
      </c>
      <c r="G520" t="s">
        <v>16</v>
      </c>
    </row>
    <row r="521" spans="1:7" x14ac:dyDescent="0.25">
      <c r="A521">
        <v>44</v>
      </c>
      <c r="B521" t="s">
        <v>199</v>
      </c>
      <c r="C521">
        <v>40</v>
      </c>
      <c r="D521" t="s">
        <v>105</v>
      </c>
      <c r="E521" t="s">
        <v>106</v>
      </c>
      <c r="F521">
        <v>0.33800000000000002</v>
      </c>
      <c r="G521" t="s">
        <v>14</v>
      </c>
    </row>
    <row r="522" spans="1:7" x14ac:dyDescent="0.25">
      <c r="A522">
        <v>44</v>
      </c>
      <c r="B522" t="s">
        <v>199</v>
      </c>
      <c r="C522">
        <v>50</v>
      </c>
      <c r="D522" t="s">
        <v>107</v>
      </c>
      <c r="E522" t="s">
        <v>15</v>
      </c>
      <c r="F522">
        <v>12.598000000000001</v>
      </c>
      <c r="G522" t="s">
        <v>14</v>
      </c>
    </row>
    <row r="523" spans="1:7" x14ac:dyDescent="0.25">
      <c r="A523">
        <v>44</v>
      </c>
      <c r="B523" t="s">
        <v>199</v>
      </c>
      <c r="C523">
        <v>60</v>
      </c>
      <c r="D523" t="s">
        <v>18</v>
      </c>
      <c r="E523" t="s">
        <v>15</v>
      </c>
      <c r="F523">
        <v>77.48</v>
      </c>
      <c r="G523" t="s">
        <v>14</v>
      </c>
    </row>
    <row r="524" spans="1:7" x14ac:dyDescent="0.25">
      <c r="A524">
        <v>44</v>
      </c>
      <c r="B524" t="s">
        <v>199</v>
      </c>
      <c r="C524">
        <v>70</v>
      </c>
      <c r="D524" t="s">
        <v>113</v>
      </c>
      <c r="E524" t="s">
        <v>11</v>
      </c>
      <c r="F524">
        <v>4</v>
      </c>
      <c r="G524" t="s">
        <v>14</v>
      </c>
    </row>
    <row r="525" spans="1:7" x14ac:dyDescent="0.25">
      <c r="A525">
        <v>44</v>
      </c>
      <c r="B525" t="s">
        <v>199</v>
      </c>
      <c r="C525">
        <v>80</v>
      </c>
      <c r="D525" t="s">
        <v>21</v>
      </c>
      <c r="E525" t="s">
        <v>11</v>
      </c>
      <c r="F525">
        <v>1</v>
      </c>
      <c r="G525" t="s">
        <v>14</v>
      </c>
    </row>
    <row r="526" spans="1:7" x14ac:dyDescent="0.25">
      <c r="A526">
        <v>44</v>
      </c>
      <c r="B526" t="s">
        <v>199</v>
      </c>
      <c r="C526">
        <v>90</v>
      </c>
      <c r="D526" t="s">
        <v>22</v>
      </c>
      <c r="E526" t="s">
        <v>11</v>
      </c>
      <c r="F526">
        <v>1</v>
      </c>
      <c r="G526" t="s">
        <v>14</v>
      </c>
    </row>
    <row r="527" spans="1:7" x14ac:dyDescent="0.25">
      <c r="A527">
        <v>44</v>
      </c>
      <c r="B527" t="s">
        <v>199</v>
      </c>
      <c r="C527">
        <v>100</v>
      </c>
      <c r="D527" t="s">
        <v>23</v>
      </c>
      <c r="E527" t="s">
        <v>11</v>
      </c>
      <c r="F527">
        <v>1</v>
      </c>
      <c r="G527" t="s">
        <v>14</v>
      </c>
    </row>
    <row r="528" spans="1:7" x14ac:dyDescent="0.25">
      <c r="A528">
        <v>44</v>
      </c>
      <c r="B528" t="s">
        <v>199</v>
      </c>
      <c r="C528">
        <v>110</v>
      </c>
      <c r="D528" t="s">
        <v>111</v>
      </c>
      <c r="E528" t="s">
        <v>13</v>
      </c>
      <c r="F528">
        <v>0.78400000000000003</v>
      </c>
      <c r="G528" t="s">
        <v>14</v>
      </c>
    </row>
    <row r="529" spans="1:7" x14ac:dyDescent="0.25">
      <c r="A529">
        <v>44</v>
      </c>
      <c r="B529" t="s">
        <v>199</v>
      </c>
      <c r="C529">
        <v>120</v>
      </c>
      <c r="D529" t="s">
        <v>200</v>
      </c>
      <c r="E529" t="s">
        <v>11</v>
      </c>
      <c r="F529">
        <v>1</v>
      </c>
      <c r="G529" t="s">
        <v>16</v>
      </c>
    </row>
    <row r="530" spans="1:7" x14ac:dyDescent="0.25">
      <c r="A530">
        <v>45</v>
      </c>
      <c r="B530" t="s">
        <v>201</v>
      </c>
      <c r="C530">
        <v>10</v>
      </c>
      <c r="D530" t="s">
        <v>307</v>
      </c>
      <c r="E530" t="s">
        <v>11</v>
      </c>
      <c r="F530">
        <v>1</v>
      </c>
      <c r="G530" t="s">
        <v>16</v>
      </c>
    </row>
    <row r="531" spans="1:7" x14ac:dyDescent="0.25">
      <c r="A531">
        <v>45</v>
      </c>
      <c r="B531" t="s">
        <v>201</v>
      </c>
      <c r="C531">
        <v>20</v>
      </c>
      <c r="D531" t="s">
        <v>109</v>
      </c>
      <c r="E531" t="s">
        <v>15</v>
      </c>
      <c r="F531">
        <v>1.5489999999999999</v>
      </c>
      <c r="G531" t="s">
        <v>16</v>
      </c>
    </row>
    <row r="532" spans="1:7" x14ac:dyDescent="0.25">
      <c r="A532">
        <v>45</v>
      </c>
      <c r="B532" t="s">
        <v>201</v>
      </c>
      <c r="C532">
        <v>30</v>
      </c>
      <c r="D532" t="s">
        <v>110</v>
      </c>
      <c r="E532" t="s">
        <v>15</v>
      </c>
      <c r="F532">
        <v>1.5489999999999999</v>
      </c>
      <c r="G532" t="s">
        <v>16</v>
      </c>
    </row>
    <row r="533" spans="1:7" x14ac:dyDescent="0.25">
      <c r="A533">
        <v>45</v>
      </c>
      <c r="B533" t="s">
        <v>201</v>
      </c>
      <c r="C533">
        <v>40</v>
      </c>
      <c r="D533" t="s">
        <v>105</v>
      </c>
      <c r="E533" t="s">
        <v>106</v>
      </c>
      <c r="F533">
        <v>0.42399999999999999</v>
      </c>
      <c r="G533" t="s">
        <v>14</v>
      </c>
    </row>
    <row r="534" spans="1:7" x14ac:dyDescent="0.25">
      <c r="A534">
        <v>45</v>
      </c>
      <c r="B534" t="s">
        <v>201</v>
      </c>
      <c r="C534">
        <v>50</v>
      </c>
      <c r="D534" t="s">
        <v>107</v>
      </c>
      <c r="E534" t="s">
        <v>15</v>
      </c>
      <c r="F534">
        <v>13.818</v>
      </c>
      <c r="G534" t="s">
        <v>14</v>
      </c>
    </row>
    <row r="535" spans="1:7" x14ac:dyDescent="0.25">
      <c r="A535">
        <v>45</v>
      </c>
      <c r="B535" t="s">
        <v>201</v>
      </c>
      <c r="C535">
        <v>60</v>
      </c>
      <c r="D535" t="s">
        <v>18</v>
      </c>
      <c r="E535" t="s">
        <v>15</v>
      </c>
      <c r="F535">
        <v>84.977999999999994</v>
      </c>
      <c r="G535" t="s">
        <v>14</v>
      </c>
    </row>
    <row r="536" spans="1:7" x14ac:dyDescent="0.25">
      <c r="A536">
        <v>45</v>
      </c>
      <c r="B536" t="s">
        <v>201</v>
      </c>
      <c r="C536">
        <v>70</v>
      </c>
      <c r="D536" t="s">
        <v>113</v>
      </c>
      <c r="E536" t="s">
        <v>11</v>
      </c>
      <c r="F536">
        <v>4</v>
      </c>
      <c r="G536" t="s">
        <v>14</v>
      </c>
    </row>
    <row r="537" spans="1:7" x14ac:dyDescent="0.25">
      <c r="A537">
        <v>45</v>
      </c>
      <c r="B537" t="s">
        <v>201</v>
      </c>
      <c r="C537">
        <v>80</v>
      </c>
      <c r="D537" t="s">
        <v>21</v>
      </c>
      <c r="E537" t="s">
        <v>11</v>
      </c>
      <c r="F537">
        <v>1</v>
      </c>
      <c r="G537" t="s">
        <v>14</v>
      </c>
    </row>
    <row r="538" spans="1:7" x14ac:dyDescent="0.25">
      <c r="A538">
        <v>45</v>
      </c>
      <c r="B538" t="s">
        <v>201</v>
      </c>
      <c r="C538">
        <v>90</v>
      </c>
      <c r="D538" t="s">
        <v>22</v>
      </c>
      <c r="E538" t="s">
        <v>11</v>
      </c>
      <c r="F538">
        <v>1</v>
      </c>
      <c r="G538" t="s">
        <v>14</v>
      </c>
    </row>
    <row r="539" spans="1:7" x14ac:dyDescent="0.25">
      <c r="A539">
        <v>45</v>
      </c>
      <c r="B539" t="s">
        <v>201</v>
      </c>
      <c r="C539">
        <v>100</v>
      </c>
      <c r="D539" t="s">
        <v>23</v>
      </c>
      <c r="E539" t="s">
        <v>11</v>
      </c>
      <c r="F539">
        <v>1</v>
      </c>
      <c r="G539" t="s">
        <v>14</v>
      </c>
    </row>
    <row r="540" spans="1:7" x14ac:dyDescent="0.25">
      <c r="A540">
        <v>45</v>
      </c>
      <c r="B540" t="s">
        <v>201</v>
      </c>
      <c r="C540">
        <v>110</v>
      </c>
      <c r="D540" t="s">
        <v>111</v>
      </c>
      <c r="E540" t="s">
        <v>13</v>
      </c>
      <c r="F540">
        <v>0.94599999999999995</v>
      </c>
      <c r="G540" t="s">
        <v>14</v>
      </c>
    </row>
    <row r="541" spans="1:7" x14ac:dyDescent="0.25">
      <c r="A541">
        <v>45</v>
      </c>
      <c r="B541" t="s">
        <v>201</v>
      </c>
      <c r="C541">
        <v>120</v>
      </c>
      <c r="D541" t="s">
        <v>202</v>
      </c>
      <c r="E541" t="s">
        <v>11</v>
      </c>
      <c r="F541">
        <v>1</v>
      </c>
      <c r="G541" t="s">
        <v>16</v>
      </c>
    </row>
    <row r="542" spans="1:7" x14ac:dyDescent="0.25">
      <c r="A542">
        <v>46</v>
      </c>
      <c r="B542" t="s">
        <v>203</v>
      </c>
      <c r="C542">
        <v>10</v>
      </c>
      <c r="D542" t="s">
        <v>308</v>
      </c>
      <c r="E542" t="s">
        <v>11</v>
      </c>
      <c r="F542">
        <v>1</v>
      </c>
      <c r="G542" t="s">
        <v>16</v>
      </c>
    </row>
    <row r="543" spans="1:7" x14ac:dyDescent="0.25">
      <c r="A543">
        <v>46</v>
      </c>
      <c r="B543" t="s">
        <v>203</v>
      </c>
      <c r="C543">
        <v>20</v>
      </c>
      <c r="D543" t="s">
        <v>109</v>
      </c>
      <c r="E543" t="s">
        <v>15</v>
      </c>
      <c r="F543">
        <v>1.702</v>
      </c>
      <c r="G543" t="s">
        <v>16</v>
      </c>
    </row>
    <row r="544" spans="1:7" x14ac:dyDescent="0.25">
      <c r="A544">
        <v>46</v>
      </c>
      <c r="B544" t="s">
        <v>203</v>
      </c>
      <c r="C544">
        <v>30</v>
      </c>
      <c r="D544" t="s">
        <v>110</v>
      </c>
      <c r="E544" t="s">
        <v>15</v>
      </c>
      <c r="F544">
        <v>1.702</v>
      </c>
      <c r="G544" t="s">
        <v>16</v>
      </c>
    </row>
    <row r="545" spans="1:7" x14ac:dyDescent="0.25">
      <c r="A545">
        <v>46</v>
      </c>
      <c r="B545" t="s">
        <v>203</v>
      </c>
      <c r="C545">
        <v>40</v>
      </c>
      <c r="D545" t="s">
        <v>105</v>
      </c>
      <c r="E545" t="s">
        <v>106</v>
      </c>
      <c r="F545">
        <v>0.46700000000000003</v>
      </c>
      <c r="G545" t="s">
        <v>14</v>
      </c>
    </row>
    <row r="546" spans="1:7" x14ac:dyDescent="0.25">
      <c r="A546">
        <v>46</v>
      </c>
      <c r="B546" t="s">
        <v>203</v>
      </c>
      <c r="C546">
        <v>50</v>
      </c>
      <c r="D546" t="s">
        <v>107</v>
      </c>
      <c r="E546" t="s">
        <v>15</v>
      </c>
      <c r="F546">
        <v>14.427</v>
      </c>
      <c r="G546" t="s">
        <v>14</v>
      </c>
    </row>
    <row r="547" spans="1:7" x14ac:dyDescent="0.25">
      <c r="A547">
        <v>46</v>
      </c>
      <c r="B547" t="s">
        <v>203</v>
      </c>
      <c r="C547">
        <v>60</v>
      </c>
      <c r="D547" t="s">
        <v>18</v>
      </c>
      <c r="E547" t="s">
        <v>15</v>
      </c>
      <c r="F547">
        <v>88.727000000000004</v>
      </c>
      <c r="G547" t="s">
        <v>14</v>
      </c>
    </row>
    <row r="548" spans="1:7" x14ac:dyDescent="0.25">
      <c r="A548">
        <v>46</v>
      </c>
      <c r="B548" t="s">
        <v>203</v>
      </c>
      <c r="C548">
        <v>70</v>
      </c>
      <c r="D548" t="s">
        <v>113</v>
      </c>
      <c r="E548" t="s">
        <v>11</v>
      </c>
      <c r="F548">
        <v>4</v>
      </c>
      <c r="G548" t="s">
        <v>14</v>
      </c>
    </row>
    <row r="549" spans="1:7" x14ac:dyDescent="0.25">
      <c r="A549">
        <v>46</v>
      </c>
      <c r="B549" t="s">
        <v>203</v>
      </c>
      <c r="C549">
        <v>80</v>
      </c>
      <c r="D549" t="s">
        <v>21</v>
      </c>
      <c r="E549" t="s">
        <v>11</v>
      </c>
      <c r="F549">
        <v>1</v>
      </c>
      <c r="G549" t="s">
        <v>14</v>
      </c>
    </row>
    <row r="550" spans="1:7" x14ac:dyDescent="0.25">
      <c r="A550">
        <v>46</v>
      </c>
      <c r="B550" t="s">
        <v>203</v>
      </c>
      <c r="C550">
        <v>90</v>
      </c>
      <c r="D550" t="s">
        <v>22</v>
      </c>
      <c r="E550" t="s">
        <v>11</v>
      </c>
      <c r="F550">
        <v>1</v>
      </c>
      <c r="G550" t="s">
        <v>14</v>
      </c>
    </row>
    <row r="551" spans="1:7" x14ac:dyDescent="0.25">
      <c r="A551">
        <v>46</v>
      </c>
      <c r="B551" t="s">
        <v>203</v>
      </c>
      <c r="C551">
        <v>100</v>
      </c>
      <c r="D551" t="s">
        <v>23</v>
      </c>
      <c r="E551" t="s">
        <v>11</v>
      </c>
      <c r="F551">
        <v>1</v>
      </c>
      <c r="G551" t="s">
        <v>14</v>
      </c>
    </row>
    <row r="552" spans="1:7" x14ac:dyDescent="0.25">
      <c r="A552">
        <v>46</v>
      </c>
      <c r="B552" t="s">
        <v>203</v>
      </c>
      <c r="C552">
        <v>110</v>
      </c>
      <c r="D552" t="s">
        <v>111</v>
      </c>
      <c r="E552" t="s">
        <v>13</v>
      </c>
      <c r="F552">
        <v>1.0269999999999999</v>
      </c>
      <c r="G552" t="s">
        <v>14</v>
      </c>
    </row>
    <row r="553" spans="1:7" x14ac:dyDescent="0.25">
      <c r="A553">
        <v>46</v>
      </c>
      <c r="B553" t="s">
        <v>203</v>
      </c>
      <c r="C553">
        <v>120</v>
      </c>
      <c r="D553" t="s">
        <v>204</v>
      </c>
      <c r="E553" t="s">
        <v>11</v>
      </c>
      <c r="F553">
        <v>1</v>
      </c>
      <c r="G553" t="s">
        <v>16</v>
      </c>
    </row>
    <row r="554" spans="1:7" x14ac:dyDescent="0.25">
      <c r="A554">
        <v>47</v>
      </c>
      <c r="B554" t="s">
        <v>205</v>
      </c>
      <c r="C554">
        <v>10</v>
      </c>
      <c r="D554" t="s">
        <v>309</v>
      </c>
      <c r="E554" t="s">
        <v>11</v>
      </c>
      <c r="F554">
        <v>1</v>
      </c>
      <c r="G554" t="s">
        <v>16</v>
      </c>
    </row>
    <row r="555" spans="1:7" x14ac:dyDescent="0.25">
      <c r="A555">
        <v>47</v>
      </c>
      <c r="B555" t="s">
        <v>205</v>
      </c>
      <c r="C555">
        <v>20</v>
      </c>
      <c r="D555" t="s">
        <v>109</v>
      </c>
      <c r="E555" t="s">
        <v>15</v>
      </c>
      <c r="F555">
        <v>1.8540000000000001</v>
      </c>
      <c r="G555" t="s">
        <v>16</v>
      </c>
    </row>
    <row r="556" spans="1:7" x14ac:dyDescent="0.25">
      <c r="A556">
        <v>47</v>
      </c>
      <c r="B556" t="s">
        <v>205</v>
      </c>
      <c r="C556">
        <v>30</v>
      </c>
      <c r="D556" t="s">
        <v>110</v>
      </c>
      <c r="E556" t="s">
        <v>15</v>
      </c>
      <c r="F556">
        <v>1.8540000000000001</v>
      </c>
      <c r="G556" t="s">
        <v>16</v>
      </c>
    </row>
    <row r="557" spans="1:7" x14ac:dyDescent="0.25">
      <c r="A557">
        <v>47</v>
      </c>
      <c r="B557" t="s">
        <v>205</v>
      </c>
      <c r="C557">
        <v>40</v>
      </c>
      <c r="D557" t="s">
        <v>105</v>
      </c>
      <c r="E557" t="s">
        <v>106</v>
      </c>
      <c r="F557">
        <v>0.51</v>
      </c>
      <c r="G557" t="s">
        <v>14</v>
      </c>
    </row>
    <row r="558" spans="1:7" x14ac:dyDescent="0.25">
      <c r="A558">
        <v>47</v>
      </c>
      <c r="B558" t="s">
        <v>205</v>
      </c>
      <c r="C558">
        <v>50</v>
      </c>
      <c r="D558" t="s">
        <v>107</v>
      </c>
      <c r="E558" t="s">
        <v>15</v>
      </c>
      <c r="F558">
        <v>15.037000000000001</v>
      </c>
      <c r="G558" t="s">
        <v>14</v>
      </c>
    </row>
    <row r="559" spans="1:7" x14ac:dyDescent="0.25">
      <c r="A559">
        <v>47</v>
      </c>
      <c r="B559" t="s">
        <v>205</v>
      </c>
      <c r="C559">
        <v>60</v>
      </c>
      <c r="D559" t="s">
        <v>18</v>
      </c>
      <c r="E559" t="s">
        <v>15</v>
      </c>
      <c r="F559">
        <v>92.475999999999999</v>
      </c>
      <c r="G559" t="s">
        <v>14</v>
      </c>
    </row>
    <row r="560" spans="1:7" x14ac:dyDescent="0.25">
      <c r="A560">
        <v>47</v>
      </c>
      <c r="B560" t="s">
        <v>205</v>
      </c>
      <c r="C560">
        <v>70</v>
      </c>
      <c r="D560" t="s">
        <v>113</v>
      </c>
      <c r="E560" t="s">
        <v>11</v>
      </c>
      <c r="F560">
        <v>4</v>
      </c>
      <c r="G560" t="s">
        <v>14</v>
      </c>
    </row>
    <row r="561" spans="1:7" x14ac:dyDescent="0.25">
      <c r="A561">
        <v>47</v>
      </c>
      <c r="B561" t="s">
        <v>205</v>
      </c>
      <c r="C561">
        <v>80</v>
      </c>
      <c r="D561" t="s">
        <v>21</v>
      </c>
      <c r="E561" t="s">
        <v>11</v>
      </c>
      <c r="F561">
        <v>1</v>
      </c>
      <c r="G561" t="s">
        <v>14</v>
      </c>
    </row>
    <row r="562" spans="1:7" x14ac:dyDescent="0.25">
      <c r="A562">
        <v>47</v>
      </c>
      <c r="B562" t="s">
        <v>205</v>
      </c>
      <c r="C562">
        <v>90</v>
      </c>
      <c r="D562" t="s">
        <v>22</v>
      </c>
      <c r="E562" t="s">
        <v>11</v>
      </c>
      <c r="F562">
        <v>1</v>
      </c>
      <c r="G562" t="s">
        <v>14</v>
      </c>
    </row>
    <row r="563" spans="1:7" x14ac:dyDescent="0.25">
      <c r="A563">
        <v>47</v>
      </c>
      <c r="B563" t="s">
        <v>205</v>
      </c>
      <c r="C563">
        <v>100</v>
      </c>
      <c r="D563" t="s">
        <v>23</v>
      </c>
      <c r="E563" t="s">
        <v>11</v>
      </c>
      <c r="F563">
        <v>1</v>
      </c>
      <c r="G563" t="s">
        <v>14</v>
      </c>
    </row>
    <row r="564" spans="1:7" x14ac:dyDescent="0.25">
      <c r="A564">
        <v>47</v>
      </c>
      <c r="B564" t="s">
        <v>205</v>
      </c>
      <c r="C564">
        <v>110</v>
      </c>
      <c r="D564" t="s">
        <v>111</v>
      </c>
      <c r="E564" t="s">
        <v>13</v>
      </c>
      <c r="F564">
        <v>1.1080000000000001</v>
      </c>
      <c r="G564" t="s">
        <v>14</v>
      </c>
    </row>
    <row r="565" spans="1:7" x14ac:dyDescent="0.25">
      <c r="A565">
        <v>47</v>
      </c>
      <c r="B565" t="s">
        <v>205</v>
      </c>
      <c r="C565">
        <v>120</v>
      </c>
      <c r="D565" t="s">
        <v>206</v>
      </c>
      <c r="E565" t="s">
        <v>11</v>
      </c>
      <c r="F565">
        <v>1</v>
      </c>
      <c r="G565" t="s">
        <v>16</v>
      </c>
    </row>
    <row r="566" spans="1:7" x14ac:dyDescent="0.25">
      <c r="A566">
        <v>48</v>
      </c>
      <c r="B566" t="s">
        <v>207</v>
      </c>
      <c r="C566">
        <v>10</v>
      </c>
      <c r="D566" t="s">
        <v>310</v>
      </c>
      <c r="E566" t="s">
        <v>11</v>
      </c>
      <c r="F566">
        <v>1</v>
      </c>
      <c r="G566" t="s">
        <v>16</v>
      </c>
    </row>
    <row r="567" spans="1:7" x14ac:dyDescent="0.25">
      <c r="A567">
        <v>48</v>
      </c>
      <c r="B567" t="s">
        <v>207</v>
      </c>
      <c r="C567">
        <v>20</v>
      </c>
      <c r="D567" t="s">
        <v>109</v>
      </c>
      <c r="E567" t="s">
        <v>15</v>
      </c>
      <c r="F567">
        <v>0.78700000000000003</v>
      </c>
      <c r="G567" t="s">
        <v>16</v>
      </c>
    </row>
    <row r="568" spans="1:7" x14ac:dyDescent="0.25">
      <c r="A568">
        <v>48</v>
      </c>
      <c r="B568" t="s">
        <v>207</v>
      </c>
      <c r="C568">
        <v>30</v>
      </c>
      <c r="D568" t="s">
        <v>110</v>
      </c>
      <c r="E568" t="s">
        <v>15</v>
      </c>
      <c r="F568">
        <v>0.78700000000000003</v>
      </c>
      <c r="G568" t="s">
        <v>16</v>
      </c>
    </row>
    <row r="569" spans="1:7" x14ac:dyDescent="0.25">
      <c r="A569">
        <v>48</v>
      </c>
      <c r="B569" t="s">
        <v>207</v>
      </c>
      <c r="C569">
        <v>40</v>
      </c>
      <c r="D569" t="s">
        <v>105</v>
      </c>
      <c r="E569" t="s">
        <v>106</v>
      </c>
      <c r="F569">
        <v>0.217</v>
      </c>
      <c r="G569" t="s">
        <v>14</v>
      </c>
    </row>
    <row r="570" spans="1:7" x14ac:dyDescent="0.25">
      <c r="A570">
        <v>48</v>
      </c>
      <c r="B570" t="s">
        <v>207</v>
      </c>
      <c r="C570">
        <v>50</v>
      </c>
      <c r="D570" t="s">
        <v>107</v>
      </c>
      <c r="E570" t="s">
        <v>15</v>
      </c>
      <c r="F570">
        <v>11.074</v>
      </c>
      <c r="G570" t="s">
        <v>14</v>
      </c>
    </row>
    <row r="571" spans="1:7" x14ac:dyDescent="0.25">
      <c r="A571">
        <v>48</v>
      </c>
      <c r="B571" t="s">
        <v>207</v>
      </c>
      <c r="C571">
        <v>60</v>
      </c>
      <c r="D571" t="s">
        <v>18</v>
      </c>
      <c r="E571" t="s">
        <v>15</v>
      </c>
      <c r="F571">
        <v>68.108000000000004</v>
      </c>
      <c r="G571" t="s">
        <v>14</v>
      </c>
    </row>
    <row r="572" spans="1:7" x14ac:dyDescent="0.25">
      <c r="A572">
        <v>48</v>
      </c>
      <c r="B572" t="s">
        <v>207</v>
      </c>
      <c r="C572">
        <v>70</v>
      </c>
      <c r="D572" t="s">
        <v>113</v>
      </c>
      <c r="E572" t="s">
        <v>11</v>
      </c>
      <c r="F572">
        <v>4</v>
      </c>
      <c r="G572" t="s">
        <v>14</v>
      </c>
    </row>
    <row r="573" spans="1:7" x14ac:dyDescent="0.25">
      <c r="A573">
        <v>48</v>
      </c>
      <c r="B573" t="s">
        <v>207</v>
      </c>
      <c r="C573">
        <v>80</v>
      </c>
      <c r="D573" t="s">
        <v>21</v>
      </c>
      <c r="E573" t="s">
        <v>11</v>
      </c>
      <c r="F573">
        <v>1</v>
      </c>
      <c r="G573" t="s">
        <v>14</v>
      </c>
    </row>
    <row r="574" spans="1:7" x14ac:dyDescent="0.25">
      <c r="A574">
        <v>48</v>
      </c>
      <c r="B574" t="s">
        <v>207</v>
      </c>
      <c r="C574">
        <v>90</v>
      </c>
      <c r="D574" t="s">
        <v>22</v>
      </c>
      <c r="E574" t="s">
        <v>11</v>
      </c>
      <c r="F574">
        <v>1</v>
      </c>
      <c r="G574" t="s">
        <v>14</v>
      </c>
    </row>
    <row r="575" spans="1:7" x14ac:dyDescent="0.25">
      <c r="A575">
        <v>48</v>
      </c>
      <c r="B575" t="s">
        <v>207</v>
      </c>
      <c r="C575">
        <v>100</v>
      </c>
      <c r="D575" t="s">
        <v>23</v>
      </c>
      <c r="E575" t="s">
        <v>11</v>
      </c>
      <c r="F575">
        <v>1</v>
      </c>
      <c r="G575" t="s">
        <v>14</v>
      </c>
    </row>
    <row r="576" spans="1:7" x14ac:dyDescent="0.25">
      <c r="A576">
        <v>48</v>
      </c>
      <c r="B576" t="s">
        <v>207</v>
      </c>
      <c r="C576">
        <v>110</v>
      </c>
      <c r="D576" t="s">
        <v>111</v>
      </c>
      <c r="E576" t="s">
        <v>13</v>
      </c>
      <c r="F576">
        <v>0.54</v>
      </c>
      <c r="G576" t="s">
        <v>14</v>
      </c>
    </row>
    <row r="577" spans="1:7" x14ac:dyDescent="0.25">
      <c r="A577">
        <v>48</v>
      </c>
      <c r="B577" t="s">
        <v>207</v>
      </c>
      <c r="C577">
        <v>120</v>
      </c>
      <c r="D577" t="s">
        <v>208</v>
      </c>
      <c r="E577" t="s">
        <v>11</v>
      </c>
      <c r="F577">
        <v>1</v>
      </c>
      <c r="G577" t="s">
        <v>16</v>
      </c>
    </row>
    <row r="578" spans="1:7" x14ac:dyDescent="0.25">
      <c r="A578">
        <v>49</v>
      </c>
      <c r="B578" t="s">
        <v>209</v>
      </c>
      <c r="C578">
        <v>10</v>
      </c>
      <c r="D578" t="s">
        <v>311</v>
      </c>
      <c r="E578" t="s">
        <v>11</v>
      </c>
      <c r="F578">
        <v>1</v>
      </c>
      <c r="G578" t="s">
        <v>16</v>
      </c>
    </row>
    <row r="579" spans="1:7" x14ac:dyDescent="0.25">
      <c r="A579">
        <v>49</v>
      </c>
      <c r="B579" t="s">
        <v>209</v>
      </c>
      <c r="C579">
        <v>20</v>
      </c>
      <c r="D579" t="s">
        <v>109</v>
      </c>
      <c r="E579" t="s">
        <v>15</v>
      </c>
      <c r="F579">
        <v>0.94</v>
      </c>
      <c r="G579" t="s">
        <v>16</v>
      </c>
    </row>
    <row r="580" spans="1:7" x14ac:dyDescent="0.25">
      <c r="A580">
        <v>49</v>
      </c>
      <c r="B580" t="s">
        <v>209</v>
      </c>
      <c r="C580">
        <v>30</v>
      </c>
      <c r="D580" t="s">
        <v>110</v>
      </c>
      <c r="E580" t="s">
        <v>15</v>
      </c>
      <c r="F580">
        <v>0.94</v>
      </c>
      <c r="G580" t="s">
        <v>16</v>
      </c>
    </row>
    <row r="581" spans="1:7" x14ac:dyDescent="0.25">
      <c r="A581">
        <v>49</v>
      </c>
      <c r="B581" t="s">
        <v>209</v>
      </c>
      <c r="C581">
        <v>40</v>
      </c>
      <c r="D581" t="s">
        <v>105</v>
      </c>
      <c r="E581" t="s">
        <v>106</v>
      </c>
      <c r="F581">
        <v>0.26200000000000001</v>
      </c>
      <c r="G581" t="s">
        <v>14</v>
      </c>
    </row>
    <row r="582" spans="1:7" x14ac:dyDescent="0.25">
      <c r="A582">
        <v>49</v>
      </c>
      <c r="B582" t="s">
        <v>209</v>
      </c>
      <c r="C582">
        <v>50</v>
      </c>
      <c r="D582" t="s">
        <v>107</v>
      </c>
      <c r="E582" t="s">
        <v>15</v>
      </c>
      <c r="F582">
        <v>11.683999999999999</v>
      </c>
      <c r="G582" t="s">
        <v>14</v>
      </c>
    </row>
    <row r="583" spans="1:7" x14ac:dyDescent="0.25">
      <c r="A583">
        <v>49</v>
      </c>
      <c r="B583" t="s">
        <v>209</v>
      </c>
      <c r="C583">
        <v>60</v>
      </c>
      <c r="D583" t="s">
        <v>18</v>
      </c>
      <c r="E583" t="s">
        <v>15</v>
      </c>
      <c r="F583">
        <v>71.856999999999999</v>
      </c>
      <c r="G583" t="s">
        <v>14</v>
      </c>
    </row>
    <row r="584" spans="1:7" x14ac:dyDescent="0.25">
      <c r="A584">
        <v>49</v>
      </c>
      <c r="B584" t="s">
        <v>209</v>
      </c>
      <c r="C584">
        <v>70</v>
      </c>
      <c r="D584" t="s">
        <v>113</v>
      </c>
      <c r="E584" t="s">
        <v>11</v>
      </c>
      <c r="F584">
        <v>4</v>
      </c>
      <c r="G584" t="s">
        <v>14</v>
      </c>
    </row>
    <row r="585" spans="1:7" x14ac:dyDescent="0.25">
      <c r="A585">
        <v>49</v>
      </c>
      <c r="B585" t="s">
        <v>209</v>
      </c>
      <c r="C585">
        <v>80</v>
      </c>
      <c r="D585" t="s">
        <v>21</v>
      </c>
      <c r="E585" t="s">
        <v>11</v>
      </c>
      <c r="F585">
        <v>1</v>
      </c>
      <c r="G585" t="s">
        <v>14</v>
      </c>
    </row>
    <row r="586" spans="1:7" x14ac:dyDescent="0.25">
      <c r="A586">
        <v>49</v>
      </c>
      <c r="B586" t="s">
        <v>209</v>
      </c>
      <c r="C586">
        <v>90</v>
      </c>
      <c r="D586" t="s">
        <v>22</v>
      </c>
      <c r="E586" t="s">
        <v>11</v>
      </c>
      <c r="F586">
        <v>1</v>
      </c>
      <c r="G586" t="s">
        <v>14</v>
      </c>
    </row>
    <row r="587" spans="1:7" x14ac:dyDescent="0.25">
      <c r="A587">
        <v>49</v>
      </c>
      <c r="B587" t="s">
        <v>209</v>
      </c>
      <c r="C587">
        <v>100</v>
      </c>
      <c r="D587" t="s">
        <v>23</v>
      </c>
      <c r="E587" t="s">
        <v>11</v>
      </c>
      <c r="F587">
        <v>1</v>
      </c>
      <c r="G587" t="s">
        <v>14</v>
      </c>
    </row>
    <row r="588" spans="1:7" x14ac:dyDescent="0.25">
      <c r="A588">
        <v>49</v>
      </c>
      <c r="B588" t="s">
        <v>209</v>
      </c>
      <c r="C588">
        <v>110</v>
      </c>
      <c r="D588" t="s">
        <v>111</v>
      </c>
      <c r="E588" t="s">
        <v>13</v>
      </c>
      <c r="F588">
        <v>0.622</v>
      </c>
      <c r="G588" t="s">
        <v>14</v>
      </c>
    </row>
    <row r="589" spans="1:7" x14ac:dyDescent="0.25">
      <c r="A589">
        <v>49</v>
      </c>
      <c r="B589" t="s">
        <v>209</v>
      </c>
      <c r="C589">
        <v>120</v>
      </c>
      <c r="D589" t="s">
        <v>210</v>
      </c>
      <c r="E589" t="s">
        <v>11</v>
      </c>
      <c r="F589">
        <v>1</v>
      </c>
      <c r="G589" t="s">
        <v>16</v>
      </c>
    </row>
    <row r="590" spans="1:7" x14ac:dyDescent="0.25">
      <c r="A590">
        <v>50</v>
      </c>
      <c r="B590" t="s">
        <v>211</v>
      </c>
      <c r="C590">
        <v>10</v>
      </c>
      <c r="D590" t="s">
        <v>312</v>
      </c>
      <c r="E590" t="s">
        <v>11</v>
      </c>
      <c r="F590">
        <v>1</v>
      </c>
      <c r="G590" t="s">
        <v>16</v>
      </c>
    </row>
    <row r="591" spans="1:7" x14ac:dyDescent="0.25">
      <c r="A591">
        <v>50</v>
      </c>
      <c r="B591" t="s">
        <v>211</v>
      </c>
      <c r="C591">
        <v>20</v>
      </c>
      <c r="D591" t="s">
        <v>109</v>
      </c>
      <c r="E591" t="s">
        <v>15</v>
      </c>
      <c r="F591">
        <v>1.0920000000000001</v>
      </c>
      <c r="G591" t="s">
        <v>16</v>
      </c>
    </row>
    <row r="592" spans="1:7" x14ac:dyDescent="0.25">
      <c r="A592">
        <v>50</v>
      </c>
      <c r="B592" t="s">
        <v>211</v>
      </c>
      <c r="C592">
        <v>30</v>
      </c>
      <c r="D592" t="s">
        <v>110</v>
      </c>
      <c r="E592" t="s">
        <v>15</v>
      </c>
      <c r="F592">
        <v>1.0920000000000001</v>
      </c>
      <c r="G592" t="s">
        <v>16</v>
      </c>
    </row>
    <row r="593" spans="1:7" x14ac:dyDescent="0.25">
      <c r="A593">
        <v>50</v>
      </c>
      <c r="B593" t="s">
        <v>211</v>
      </c>
      <c r="C593">
        <v>40</v>
      </c>
      <c r="D593" t="s">
        <v>105</v>
      </c>
      <c r="E593" t="s">
        <v>106</v>
      </c>
      <c r="F593">
        <v>0.307</v>
      </c>
      <c r="G593" t="s">
        <v>14</v>
      </c>
    </row>
    <row r="594" spans="1:7" x14ac:dyDescent="0.25">
      <c r="A594">
        <v>50</v>
      </c>
      <c r="B594" t="s">
        <v>211</v>
      </c>
      <c r="C594">
        <v>50</v>
      </c>
      <c r="D594" t="s">
        <v>107</v>
      </c>
      <c r="E594" t="s">
        <v>15</v>
      </c>
      <c r="F594">
        <v>12.294</v>
      </c>
      <c r="G594" t="s">
        <v>14</v>
      </c>
    </row>
    <row r="595" spans="1:7" x14ac:dyDescent="0.25">
      <c r="A595">
        <v>50</v>
      </c>
      <c r="B595" t="s">
        <v>211</v>
      </c>
      <c r="C595">
        <v>60</v>
      </c>
      <c r="D595" t="s">
        <v>18</v>
      </c>
      <c r="E595" t="s">
        <v>15</v>
      </c>
      <c r="F595">
        <v>75.605999999999995</v>
      </c>
      <c r="G595" t="s">
        <v>14</v>
      </c>
    </row>
    <row r="596" spans="1:7" x14ac:dyDescent="0.25">
      <c r="A596">
        <v>50</v>
      </c>
      <c r="B596" t="s">
        <v>211</v>
      </c>
      <c r="C596">
        <v>70</v>
      </c>
      <c r="D596" t="s">
        <v>113</v>
      </c>
      <c r="E596" t="s">
        <v>11</v>
      </c>
      <c r="F596">
        <v>4</v>
      </c>
      <c r="G596" t="s">
        <v>14</v>
      </c>
    </row>
    <row r="597" spans="1:7" x14ac:dyDescent="0.25">
      <c r="A597">
        <v>50</v>
      </c>
      <c r="B597" t="s">
        <v>211</v>
      </c>
      <c r="C597">
        <v>80</v>
      </c>
      <c r="D597" t="s">
        <v>21</v>
      </c>
      <c r="E597" t="s">
        <v>11</v>
      </c>
      <c r="F597">
        <v>1</v>
      </c>
      <c r="G597" t="s">
        <v>14</v>
      </c>
    </row>
    <row r="598" spans="1:7" x14ac:dyDescent="0.25">
      <c r="A598">
        <v>50</v>
      </c>
      <c r="B598" t="s">
        <v>211</v>
      </c>
      <c r="C598">
        <v>90</v>
      </c>
      <c r="D598" t="s">
        <v>22</v>
      </c>
      <c r="E598" t="s">
        <v>11</v>
      </c>
      <c r="F598">
        <v>1</v>
      </c>
      <c r="G598" t="s">
        <v>14</v>
      </c>
    </row>
    <row r="599" spans="1:7" x14ac:dyDescent="0.25">
      <c r="A599">
        <v>50</v>
      </c>
      <c r="B599" t="s">
        <v>211</v>
      </c>
      <c r="C599">
        <v>100</v>
      </c>
      <c r="D599" t="s">
        <v>23</v>
      </c>
      <c r="E599" t="s">
        <v>11</v>
      </c>
      <c r="F599">
        <v>1</v>
      </c>
      <c r="G599" t="s">
        <v>14</v>
      </c>
    </row>
    <row r="600" spans="1:7" x14ac:dyDescent="0.25">
      <c r="A600">
        <v>50</v>
      </c>
      <c r="B600" t="s">
        <v>211</v>
      </c>
      <c r="C600">
        <v>110</v>
      </c>
      <c r="D600" t="s">
        <v>111</v>
      </c>
      <c r="E600" t="s">
        <v>13</v>
      </c>
      <c r="F600">
        <v>0.70299999999999996</v>
      </c>
      <c r="G600" t="s">
        <v>14</v>
      </c>
    </row>
    <row r="601" spans="1:7" x14ac:dyDescent="0.25">
      <c r="A601">
        <v>50</v>
      </c>
      <c r="B601" t="s">
        <v>211</v>
      </c>
      <c r="C601">
        <v>120</v>
      </c>
      <c r="D601" t="s">
        <v>212</v>
      </c>
      <c r="E601" t="s">
        <v>11</v>
      </c>
      <c r="F601">
        <v>1</v>
      </c>
      <c r="G601" t="s">
        <v>16</v>
      </c>
    </row>
    <row r="602" spans="1:7" x14ac:dyDescent="0.25">
      <c r="A602">
        <v>51</v>
      </c>
      <c r="B602" t="s">
        <v>213</v>
      </c>
      <c r="C602">
        <v>10</v>
      </c>
      <c r="D602" t="s">
        <v>313</v>
      </c>
      <c r="E602" t="s">
        <v>11</v>
      </c>
      <c r="F602">
        <v>1</v>
      </c>
      <c r="G602" t="s">
        <v>16</v>
      </c>
    </row>
    <row r="603" spans="1:7" x14ac:dyDescent="0.25">
      <c r="A603">
        <v>51</v>
      </c>
      <c r="B603" t="s">
        <v>213</v>
      </c>
      <c r="C603">
        <v>20</v>
      </c>
      <c r="D603" t="s">
        <v>109</v>
      </c>
      <c r="E603" t="s">
        <v>15</v>
      </c>
      <c r="F603">
        <v>1.2450000000000001</v>
      </c>
      <c r="G603" t="s">
        <v>16</v>
      </c>
    </row>
    <row r="604" spans="1:7" x14ac:dyDescent="0.25">
      <c r="A604">
        <v>51</v>
      </c>
      <c r="B604" t="s">
        <v>213</v>
      </c>
      <c r="C604">
        <v>30</v>
      </c>
      <c r="D604" t="s">
        <v>110</v>
      </c>
      <c r="E604" t="s">
        <v>15</v>
      </c>
      <c r="F604">
        <v>1.2450000000000001</v>
      </c>
      <c r="G604" t="s">
        <v>16</v>
      </c>
    </row>
    <row r="605" spans="1:7" x14ac:dyDescent="0.25">
      <c r="A605">
        <v>51</v>
      </c>
      <c r="B605" t="s">
        <v>213</v>
      </c>
      <c r="C605">
        <v>40</v>
      </c>
      <c r="D605" t="s">
        <v>105</v>
      </c>
      <c r="E605" t="s">
        <v>106</v>
      </c>
      <c r="F605">
        <v>0.35199999999999998</v>
      </c>
      <c r="G605" t="s">
        <v>14</v>
      </c>
    </row>
    <row r="606" spans="1:7" x14ac:dyDescent="0.25">
      <c r="A606">
        <v>51</v>
      </c>
      <c r="B606" t="s">
        <v>213</v>
      </c>
      <c r="C606">
        <v>50</v>
      </c>
      <c r="D606" t="s">
        <v>107</v>
      </c>
      <c r="E606" t="s">
        <v>15</v>
      </c>
      <c r="F606">
        <v>12.903</v>
      </c>
      <c r="G606" t="s">
        <v>14</v>
      </c>
    </row>
    <row r="607" spans="1:7" x14ac:dyDescent="0.25">
      <c r="A607">
        <v>51</v>
      </c>
      <c r="B607" t="s">
        <v>213</v>
      </c>
      <c r="C607">
        <v>60</v>
      </c>
      <c r="D607" t="s">
        <v>18</v>
      </c>
      <c r="E607" t="s">
        <v>15</v>
      </c>
      <c r="F607">
        <v>79.355000000000004</v>
      </c>
      <c r="G607" t="s">
        <v>14</v>
      </c>
    </row>
    <row r="608" spans="1:7" x14ac:dyDescent="0.25">
      <c r="A608">
        <v>51</v>
      </c>
      <c r="B608" t="s">
        <v>213</v>
      </c>
      <c r="C608">
        <v>70</v>
      </c>
      <c r="D608" t="s">
        <v>113</v>
      </c>
      <c r="E608" t="s">
        <v>11</v>
      </c>
      <c r="F608">
        <v>4</v>
      </c>
      <c r="G608" t="s">
        <v>14</v>
      </c>
    </row>
    <row r="609" spans="1:7" x14ac:dyDescent="0.25">
      <c r="A609">
        <v>51</v>
      </c>
      <c r="B609" t="s">
        <v>213</v>
      </c>
      <c r="C609">
        <v>80</v>
      </c>
      <c r="D609" t="s">
        <v>21</v>
      </c>
      <c r="E609" t="s">
        <v>11</v>
      </c>
      <c r="F609">
        <v>1</v>
      </c>
      <c r="G609" t="s">
        <v>14</v>
      </c>
    </row>
    <row r="610" spans="1:7" x14ac:dyDescent="0.25">
      <c r="A610">
        <v>51</v>
      </c>
      <c r="B610" t="s">
        <v>213</v>
      </c>
      <c r="C610">
        <v>90</v>
      </c>
      <c r="D610" t="s">
        <v>22</v>
      </c>
      <c r="E610" t="s">
        <v>11</v>
      </c>
      <c r="F610">
        <v>1</v>
      </c>
      <c r="G610" t="s">
        <v>14</v>
      </c>
    </row>
    <row r="611" spans="1:7" x14ac:dyDescent="0.25">
      <c r="A611">
        <v>51</v>
      </c>
      <c r="B611" t="s">
        <v>213</v>
      </c>
      <c r="C611">
        <v>100</v>
      </c>
      <c r="D611" t="s">
        <v>23</v>
      </c>
      <c r="E611" t="s">
        <v>11</v>
      </c>
      <c r="F611">
        <v>1</v>
      </c>
      <c r="G611" t="s">
        <v>14</v>
      </c>
    </row>
    <row r="612" spans="1:7" x14ac:dyDescent="0.25">
      <c r="A612">
        <v>51</v>
      </c>
      <c r="B612" t="s">
        <v>213</v>
      </c>
      <c r="C612">
        <v>110</v>
      </c>
      <c r="D612" t="s">
        <v>111</v>
      </c>
      <c r="E612" t="s">
        <v>13</v>
      </c>
      <c r="F612">
        <v>0.78400000000000003</v>
      </c>
      <c r="G612" t="s">
        <v>14</v>
      </c>
    </row>
    <row r="613" spans="1:7" x14ac:dyDescent="0.25">
      <c r="A613">
        <v>51</v>
      </c>
      <c r="B613" t="s">
        <v>213</v>
      </c>
      <c r="C613">
        <v>120</v>
      </c>
      <c r="D613" t="s">
        <v>214</v>
      </c>
      <c r="E613" t="s">
        <v>11</v>
      </c>
      <c r="F613">
        <v>1</v>
      </c>
      <c r="G613" t="s">
        <v>16</v>
      </c>
    </row>
    <row r="614" spans="1:7" x14ac:dyDescent="0.25">
      <c r="A614">
        <v>52</v>
      </c>
      <c r="B614" t="s">
        <v>215</v>
      </c>
      <c r="C614">
        <v>10</v>
      </c>
      <c r="D614" t="s">
        <v>314</v>
      </c>
      <c r="E614" t="s">
        <v>11</v>
      </c>
      <c r="F614">
        <v>1</v>
      </c>
      <c r="G614" t="s">
        <v>16</v>
      </c>
    </row>
    <row r="615" spans="1:7" x14ac:dyDescent="0.25">
      <c r="A615">
        <v>52</v>
      </c>
      <c r="B615" t="s">
        <v>215</v>
      </c>
      <c r="C615">
        <v>20</v>
      </c>
      <c r="D615" t="s">
        <v>109</v>
      </c>
      <c r="E615" t="s">
        <v>15</v>
      </c>
      <c r="F615">
        <v>1.5489999999999999</v>
      </c>
      <c r="G615" t="s">
        <v>16</v>
      </c>
    </row>
    <row r="616" spans="1:7" x14ac:dyDescent="0.25">
      <c r="A616">
        <v>52</v>
      </c>
      <c r="B616" t="s">
        <v>215</v>
      </c>
      <c r="C616">
        <v>30</v>
      </c>
      <c r="D616" t="s">
        <v>110</v>
      </c>
      <c r="E616" t="s">
        <v>15</v>
      </c>
      <c r="F616">
        <v>1.5489999999999999</v>
      </c>
      <c r="G616" t="s">
        <v>16</v>
      </c>
    </row>
    <row r="617" spans="1:7" x14ac:dyDescent="0.25">
      <c r="A617">
        <v>52</v>
      </c>
      <c r="B617" t="s">
        <v>215</v>
      </c>
      <c r="C617">
        <v>40</v>
      </c>
      <c r="D617" t="s">
        <v>105</v>
      </c>
      <c r="E617" t="s">
        <v>106</v>
      </c>
      <c r="F617">
        <v>0.442</v>
      </c>
      <c r="G617" t="s">
        <v>14</v>
      </c>
    </row>
    <row r="618" spans="1:7" x14ac:dyDescent="0.25">
      <c r="A618">
        <v>52</v>
      </c>
      <c r="B618" t="s">
        <v>215</v>
      </c>
      <c r="C618">
        <v>50</v>
      </c>
      <c r="D618" t="s">
        <v>107</v>
      </c>
      <c r="E618" t="s">
        <v>15</v>
      </c>
      <c r="F618">
        <v>14.122</v>
      </c>
      <c r="G618" t="s">
        <v>14</v>
      </c>
    </row>
    <row r="619" spans="1:7" x14ac:dyDescent="0.25">
      <c r="A619">
        <v>52</v>
      </c>
      <c r="B619" t="s">
        <v>215</v>
      </c>
      <c r="C619">
        <v>60</v>
      </c>
      <c r="D619" t="s">
        <v>18</v>
      </c>
      <c r="E619" t="s">
        <v>15</v>
      </c>
      <c r="F619">
        <v>86.852999999999994</v>
      </c>
      <c r="G619" t="s">
        <v>14</v>
      </c>
    </row>
    <row r="620" spans="1:7" x14ac:dyDescent="0.25">
      <c r="A620">
        <v>52</v>
      </c>
      <c r="B620" t="s">
        <v>215</v>
      </c>
      <c r="C620">
        <v>70</v>
      </c>
      <c r="D620" t="s">
        <v>113</v>
      </c>
      <c r="E620" t="s">
        <v>11</v>
      </c>
      <c r="F620">
        <v>4</v>
      </c>
      <c r="G620" t="s">
        <v>14</v>
      </c>
    </row>
    <row r="621" spans="1:7" x14ac:dyDescent="0.25">
      <c r="A621">
        <v>52</v>
      </c>
      <c r="B621" t="s">
        <v>215</v>
      </c>
      <c r="C621">
        <v>80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52</v>
      </c>
      <c r="B622" t="s">
        <v>215</v>
      </c>
      <c r="C622">
        <v>90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52</v>
      </c>
      <c r="B623" t="s">
        <v>215</v>
      </c>
      <c r="C623">
        <v>100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52</v>
      </c>
      <c r="B624" t="s">
        <v>215</v>
      </c>
      <c r="C624">
        <v>110</v>
      </c>
      <c r="D624" t="s">
        <v>111</v>
      </c>
      <c r="E624" t="s">
        <v>13</v>
      </c>
      <c r="F624">
        <v>0.94599999999999995</v>
      </c>
      <c r="G624" t="s">
        <v>14</v>
      </c>
    </row>
    <row r="625" spans="1:7" x14ac:dyDescent="0.25">
      <c r="A625">
        <v>52</v>
      </c>
      <c r="B625" t="s">
        <v>215</v>
      </c>
      <c r="C625">
        <v>120</v>
      </c>
      <c r="D625" t="s">
        <v>216</v>
      </c>
      <c r="E625" t="s">
        <v>11</v>
      </c>
      <c r="F625">
        <v>1</v>
      </c>
      <c r="G625" t="s">
        <v>16</v>
      </c>
    </row>
    <row r="626" spans="1:7" x14ac:dyDescent="0.25">
      <c r="A626">
        <v>53</v>
      </c>
      <c r="B626" t="s">
        <v>217</v>
      </c>
      <c r="C626">
        <v>10</v>
      </c>
      <c r="D626" t="s">
        <v>315</v>
      </c>
      <c r="E626" t="s">
        <v>11</v>
      </c>
      <c r="F626">
        <v>1</v>
      </c>
      <c r="G626" t="s">
        <v>16</v>
      </c>
    </row>
    <row r="627" spans="1:7" x14ac:dyDescent="0.25">
      <c r="A627">
        <v>53</v>
      </c>
      <c r="B627" t="s">
        <v>217</v>
      </c>
      <c r="C627">
        <v>20</v>
      </c>
      <c r="D627" t="s">
        <v>109</v>
      </c>
      <c r="E627" t="s">
        <v>15</v>
      </c>
      <c r="F627">
        <v>1.702</v>
      </c>
      <c r="G627" t="s">
        <v>16</v>
      </c>
    </row>
    <row r="628" spans="1:7" x14ac:dyDescent="0.25">
      <c r="A628">
        <v>53</v>
      </c>
      <c r="B628" t="s">
        <v>217</v>
      </c>
      <c r="C628">
        <v>30</v>
      </c>
      <c r="D628" t="s">
        <v>110</v>
      </c>
      <c r="E628" t="s">
        <v>15</v>
      </c>
      <c r="F628">
        <v>1.702</v>
      </c>
      <c r="G628" t="s">
        <v>16</v>
      </c>
    </row>
    <row r="629" spans="1:7" x14ac:dyDescent="0.25">
      <c r="A629">
        <v>53</v>
      </c>
      <c r="B629" t="s">
        <v>217</v>
      </c>
      <c r="C629">
        <v>40</v>
      </c>
      <c r="D629" t="s">
        <v>105</v>
      </c>
      <c r="E629" t="s">
        <v>106</v>
      </c>
      <c r="F629">
        <v>0.48699999999999999</v>
      </c>
      <c r="G629" t="s">
        <v>14</v>
      </c>
    </row>
    <row r="630" spans="1:7" x14ac:dyDescent="0.25">
      <c r="A630">
        <v>53</v>
      </c>
      <c r="B630" t="s">
        <v>217</v>
      </c>
      <c r="C630">
        <v>50</v>
      </c>
      <c r="D630" t="s">
        <v>107</v>
      </c>
      <c r="E630" t="s">
        <v>15</v>
      </c>
      <c r="F630">
        <v>14.731999999999999</v>
      </c>
      <c r="G630" t="s">
        <v>14</v>
      </c>
    </row>
    <row r="631" spans="1:7" x14ac:dyDescent="0.25">
      <c r="A631">
        <v>53</v>
      </c>
      <c r="B631" t="s">
        <v>217</v>
      </c>
      <c r="C631">
        <v>60</v>
      </c>
      <c r="D631" t="s">
        <v>18</v>
      </c>
      <c r="E631" t="s">
        <v>15</v>
      </c>
      <c r="F631">
        <v>90.602000000000004</v>
      </c>
      <c r="G631" t="s">
        <v>14</v>
      </c>
    </row>
    <row r="632" spans="1:7" x14ac:dyDescent="0.25">
      <c r="A632">
        <v>53</v>
      </c>
      <c r="B632" t="s">
        <v>217</v>
      </c>
      <c r="C632">
        <v>70</v>
      </c>
      <c r="D632" t="s">
        <v>113</v>
      </c>
      <c r="E632" t="s">
        <v>11</v>
      </c>
      <c r="F632">
        <v>4</v>
      </c>
      <c r="G632" t="s">
        <v>14</v>
      </c>
    </row>
    <row r="633" spans="1:7" x14ac:dyDescent="0.25">
      <c r="A633">
        <v>53</v>
      </c>
      <c r="B633" t="s">
        <v>217</v>
      </c>
      <c r="C633">
        <v>80</v>
      </c>
      <c r="D633" t="s">
        <v>21</v>
      </c>
      <c r="E633" t="s">
        <v>11</v>
      </c>
      <c r="F633">
        <v>1</v>
      </c>
      <c r="G633" t="s">
        <v>14</v>
      </c>
    </row>
    <row r="634" spans="1:7" x14ac:dyDescent="0.25">
      <c r="A634">
        <v>53</v>
      </c>
      <c r="B634" t="s">
        <v>217</v>
      </c>
      <c r="C634">
        <v>90</v>
      </c>
      <c r="D634" t="s">
        <v>22</v>
      </c>
      <c r="E634" t="s">
        <v>11</v>
      </c>
      <c r="F634">
        <v>1</v>
      </c>
      <c r="G634" t="s">
        <v>14</v>
      </c>
    </row>
    <row r="635" spans="1:7" x14ac:dyDescent="0.25">
      <c r="A635">
        <v>53</v>
      </c>
      <c r="B635" t="s">
        <v>217</v>
      </c>
      <c r="C635">
        <v>100</v>
      </c>
      <c r="D635" t="s">
        <v>23</v>
      </c>
      <c r="E635" t="s">
        <v>11</v>
      </c>
      <c r="F635">
        <v>1</v>
      </c>
      <c r="G635" t="s">
        <v>14</v>
      </c>
    </row>
    <row r="636" spans="1:7" x14ac:dyDescent="0.25">
      <c r="A636">
        <v>53</v>
      </c>
      <c r="B636" t="s">
        <v>217</v>
      </c>
      <c r="C636">
        <v>110</v>
      </c>
      <c r="D636" t="s">
        <v>111</v>
      </c>
      <c r="E636" t="s">
        <v>13</v>
      </c>
      <c r="F636">
        <v>1.0269999999999999</v>
      </c>
      <c r="G636" t="s">
        <v>14</v>
      </c>
    </row>
    <row r="637" spans="1:7" x14ac:dyDescent="0.25">
      <c r="A637">
        <v>53</v>
      </c>
      <c r="B637" t="s">
        <v>217</v>
      </c>
      <c r="C637">
        <v>120</v>
      </c>
      <c r="D637" t="s">
        <v>218</v>
      </c>
      <c r="E637" t="s">
        <v>11</v>
      </c>
      <c r="F637">
        <v>1</v>
      </c>
      <c r="G637" t="s">
        <v>16</v>
      </c>
    </row>
    <row r="638" spans="1:7" x14ac:dyDescent="0.25">
      <c r="A638">
        <v>54</v>
      </c>
      <c r="B638" t="s">
        <v>219</v>
      </c>
      <c r="C638">
        <v>10</v>
      </c>
      <c r="D638" t="s">
        <v>316</v>
      </c>
      <c r="E638" t="s">
        <v>11</v>
      </c>
      <c r="F638">
        <v>1</v>
      </c>
      <c r="G638" t="s">
        <v>16</v>
      </c>
    </row>
    <row r="639" spans="1:7" x14ac:dyDescent="0.25">
      <c r="A639">
        <v>54</v>
      </c>
      <c r="B639" t="s">
        <v>219</v>
      </c>
      <c r="C639">
        <v>20</v>
      </c>
      <c r="D639" t="s">
        <v>109</v>
      </c>
      <c r="E639" t="s">
        <v>15</v>
      </c>
      <c r="F639">
        <v>1.8540000000000001</v>
      </c>
      <c r="G639" t="s">
        <v>16</v>
      </c>
    </row>
    <row r="640" spans="1:7" x14ac:dyDescent="0.25">
      <c r="A640">
        <v>54</v>
      </c>
      <c r="B640" t="s">
        <v>219</v>
      </c>
      <c r="C640">
        <v>30</v>
      </c>
      <c r="D640" t="s">
        <v>110</v>
      </c>
      <c r="E640" t="s">
        <v>15</v>
      </c>
      <c r="F640">
        <v>1.8540000000000001</v>
      </c>
      <c r="G640" t="s">
        <v>16</v>
      </c>
    </row>
    <row r="641" spans="1:7" x14ac:dyDescent="0.25">
      <c r="A641">
        <v>54</v>
      </c>
      <c r="B641" t="s">
        <v>219</v>
      </c>
      <c r="C641">
        <v>40</v>
      </c>
      <c r="D641" t="s">
        <v>105</v>
      </c>
      <c r="E641" t="s">
        <v>106</v>
      </c>
      <c r="F641">
        <v>0.53200000000000003</v>
      </c>
      <c r="G641" t="s">
        <v>14</v>
      </c>
    </row>
    <row r="642" spans="1:7" x14ac:dyDescent="0.25">
      <c r="A642">
        <v>54</v>
      </c>
      <c r="B642" t="s">
        <v>219</v>
      </c>
      <c r="C642">
        <v>50</v>
      </c>
      <c r="D642" t="s">
        <v>107</v>
      </c>
      <c r="E642" t="s">
        <v>15</v>
      </c>
      <c r="F642">
        <v>15.342000000000001</v>
      </c>
      <c r="G642" t="s">
        <v>14</v>
      </c>
    </row>
    <row r="643" spans="1:7" x14ac:dyDescent="0.25">
      <c r="A643">
        <v>54</v>
      </c>
      <c r="B643" t="s">
        <v>219</v>
      </c>
      <c r="C643">
        <v>60</v>
      </c>
      <c r="D643" t="s">
        <v>18</v>
      </c>
      <c r="E643" t="s">
        <v>15</v>
      </c>
      <c r="F643">
        <v>94.350999999999999</v>
      </c>
      <c r="G643" t="s">
        <v>14</v>
      </c>
    </row>
    <row r="644" spans="1:7" x14ac:dyDescent="0.25">
      <c r="A644">
        <v>54</v>
      </c>
      <c r="B644" t="s">
        <v>219</v>
      </c>
      <c r="C644">
        <v>70</v>
      </c>
      <c r="D644" t="s">
        <v>113</v>
      </c>
      <c r="E644" t="s">
        <v>11</v>
      </c>
      <c r="F644">
        <v>4</v>
      </c>
      <c r="G644" t="s">
        <v>14</v>
      </c>
    </row>
    <row r="645" spans="1:7" x14ac:dyDescent="0.25">
      <c r="A645">
        <v>54</v>
      </c>
      <c r="B645" t="s">
        <v>219</v>
      </c>
      <c r="C645">
        <v>80</v>
      </c>
      <c r="D645" t="s">
        <v>21</v>
      </c>
      <c r="E645" t="s">
        <v>11</v>
      </c>
      <c r="F645">
        <v>1</v>
      </c>
      <c r="G645" t="s">
        <v>14</v>
      </c>
    </row>
    <row r="646" spans="1:7" x14ac:dyDescent="0.25">
      <c r="A646">
        <v>54</v>
      </c>
      <c r="B646" t="s">
        <v>219</v>
      </c>
      <c r="C646">
        <v>90</v>
      </c>
      <c r="D646" t="s">
        <v>22</v>
      </c>
      <c r="E646" t="s">
        <v>11</v>
      </c>
      <c r="F646">
        <v>1</v>
      </c>
      <c r="G646" t="s">
        <v>14</v>
      </c>
    </row>
    <row r="647" spans="1:7" x14ac:dyDescent="0.25">
      <c r="A647">
        <v>54</v>
      </c>
      <c r="B647" t="s">
        <v>219</v>
      </c>
      <c r="C647">
        <v>100</v>
      </c>
      <c r="D647" t="s">
        <v>23</v>
      </c>
      <c r="E647" t="s">
        <v>11</v>
      </c>
      <c r="F647">
        <v>1</v>
      </c>
      <c r="G647" t="s">
        <v>14</v>
      </c>
    </row>
    <row r="648" spans="1:7" x14ac:dyDescent="0.25">
      <c r="A648">
        <v>54</v>
      </c>
      <c r="B648" t="s">
        <v>219</v>
      </c>
      <c r="C648">
        <v>110</v>
      </c>
      <c r="D648" t="s">
        <v>111</v>
      </c>
      <c r="E648" t="s">
        <v>13</v>
      </c>
      <c r="F648">
        <v>1.1080000000000001</v>
      </c>
      <c r="G648" t="s">
        <v>14</v>
      </c>
    </row>
    <row r="649" spans="1:7" x14ac:dyDescent="0.25">
      <c r="A649">
        <v>54</v>
      </c>
      <c r="B649" t="s">
        <v>219</v>
      </c>
      <c r="C649">
        <v>120</v>
      </c>
      <c r="D649" t="s">
        <v>220</v>
      </c>
      <c r="E649" t="s">
        <v>11</v>
      </c>
      <c r="F649">
        <v>1</v>
      </c>
      <c r="G649" t="s">
        <v>16</v>
      </c>
    </row>
    <row r="650" spans="1:7" x14ac:dyDescent="0.25">
      <c r="A650">
        <v>55</v>
      </c>
      <c r="B650" t="s">
        <v>221</v>
      </c>
      <c r="C650">
        <v>10</v>
      </c>
      <c r="D650" t="s">
        <v>317</v>
      </c>
      <c r="E650" t="s">
        <v>11</v>
      </c>
      <c r="F650">
        <v>1</v>
      </c>
      <c r="G650" t="s">
        <v>16</v>
      </c>
    </row>
    <row r="651" spans="1:7" x14ac:dyDescent="0.25">
      <c r="A651">
        <v>55</v>
      </c>
      <c r="B651" t="s">
        <v>221</v>
      </c>
      <c r="C651">
        <v>20</v>
      </c>
      <c r="D651" t="s">
        <v>109</v>
      </c>
      <c r="E651" t="s">
        <v>15</v>
      </c>
      <c r="F651">
        <v>0.78700000000000003</v>
      </c>
      <c r="G651" t="s">
        <v>16</v>
      </c>
    </row>
    <row r="652" spans="1:7" x14ac:dyDescent="0.25">
      <c r="A652">
        <v>55</v>
      </c>
      <c r="B652" t="s">
        <v>221</v>
      </c>
      <c r="C652">
        <v>30</v>
      </c>
      <c r="D652" t="s">
        <v>110</v>
      </c>
      <c r="E652" t="s">
        <v>15</v>
      </c>
      <c r="F652">
        <v>0.78700000000000003</v>
      </c>
      <c r="G652" t="s">
        <v>16</v>
      </c>
    </row>
    <row r="653" spans="1:7" x14ac:dyDescent="0.25">
      <c r="A653">
        <v>55</v>
      </c>
      <c r="B653" t="s">
        <v>221</v>
      </c>
      <c r="C653">
        <v>40</v>
      </c>
      <c r="D653" t="s">
        <v>105</v>
      </c>
      <c r="E653" t="s">
        <v>106</v>
      </c>
      <c r="F653">
        <v>0.22600000000000001</v>
      </c>
      <c r="G653" t="s">
        <v>14</v>
      </c>
    </row>
    <row r="654" spans="1:7" x14ac:dyDescent="0.25">
      <c r="A654">
        <v>55</v>
      </c>
      <c r="B654" t="s">
        <v>221</v>
      </c>
      <c r="C654">
        <v>50</v>
      </c>
      <c r="D654" t="s">
        <v>107</v>
      </c>
      <c r="E654" t="s">
        <v>15</v>
      </c>
      <c r="F654">
        <v>11.379</v>
      </c>
      <c r="G654" t="s">
        <v>14</v>
      </c>
    </row>
    <row r="655" spans="1:7" x14ac:dyDescent="0.25">
      <c r="A655">
        <v>55</v>
      </c>
      <c r="B655" t="s">
        <v>221</v>
      </c>
      <c r="C655">
        <v>60</v>
      </c>
      <c r="D655" t="s">
        <v>18</v>
      </c>
      <c r="E655" t="s">
        <v>15</v>
      </c>
      <c r="F655">
        <v>69.981999999999999</v>
      </c>
      <c r="G655" t="s">
        <v>14</v>
      </c>
    </row>
    <row r="656" spans="1:7" x14ac:dyDescent="0.25">
      <c r="A656">
        <v>55</v>
      </c>
      <c r="B656" t="s">
        <v>221</v>
      </c>
      <c r="C656">
        <v>70</v>
      </c>
      <c r="D656" t="s">
        <v>113</v>
      </c>
      <c r="E656" t="s">
        <v>11</v>
      </c>
      <c r="F656">
        <v>4</v>
      </c>
      <c r="G656" t="s">
        <v>14</v>
      </c>
    </row>
    <row r="657" spans="1:7" x14ac:dyDescent="0.25">
      <c r="A657">
        <v>55</v>
      </c>
      <c r="B657" t="s">
        <v>221</v>
      </c>
      <c r="C657">
        <v>80</v>
      </c>
      <c r="D657" t="s">
        <v>21</v>
      </c>
      <c r="E657" t="s">
        <v>11</v>
      </c>
      <c r="F657">
        <v>1</v>
      </c>
      <c r="G657" t="s">
        <v>14</v>
      </c>
    </row>
    <row r="658" spans="1:7" x14ac:dyDescent="0.25">
      <c r="A658">
        <v>55</v>
      </c>
      <c r="B658" t="s">
        <v>221</v>
      </c>
      <c r="C658">
        <v>90</v>
      </c>
      <c r="D658" t="s">
        <v>22</v>
      </c>
      <c r="E658" t="s">
        <v>11</v>
      </c>
      <c r="F658">
        <v>1</v>
      </c>
      <c r="G658" t="s">
        <v>14</v>
      </c>
    </row>
    <row r="659" spans="1:7" x14ac:dyDescent="0.25">
      <c r="A659">
        <v>55</v>
      </c>
      <c r="B659" t="s">
        <v>221</v>
      </c>
      <c r="C659">
        <v>100</v>
      </c>
      <c r="D659" t="s">
        <v>23</v>
      </c>
      <c r="E659" t="s">
        <v>11</v>
      </c>
      <c r="F659">
        <v>1</v>
      </c>
      <c r="G659" t="s">
        <v>14</v>
      </c>
    </row>
    <row r="660" spans="1:7" x14ac:dyDescent="0.25">
      <c r="A660">
        <v>55</v>
      </c>
      <c r="B660" t="s">
        <v>221</v>
      </c>
      <c r="C660">
        <v>110</v>
      </c>
      <c r="D660" t="s">
        <v>111</v>
      </c>
      <c r="E660" t="s">
        <v>13</v>
      </c>
      <c r="F660">
        <v>0.54</v>
      </c>
      <c r="G660" t="s">
        <v>14</v>
      </c>
    </row>
    <row r="661" spans="1:7" x14ac:dyDescent="0.25">
      <c r="A661">
        <v>55</v>
      </c>
      <c r="B661" t="s">
        <v>221</v>
      </c>
      <c r="C661">
        <v>120</v>
      </c>
      <c r="D661" t="s">
        <v>222</v>
      </c>
      <c r="E661" t="s">
        <v>11</v>
      </c>
      <c r="F661">
        <v>1</v>
      </c>
      <c r="G661" t="s">
        <v>16</v>
      </c>
    </row>
    <row r="662" spans="1:7" x14ac:dyDescent="0.25">
      <c r="A662">
        <v>56</v>
      </c>
      <c r="B662" t="s">
        <v>223</v>
      </c>
      <c r="C662">
        <v>10</v>
      </c>
      <c r="D662" t="s">
        <v>318</v>
      </c>
      <c r="E662" t="s">
        <v>11</v>
      </c>
      <c r="F662">
        <v>1</v>
      </c>
      <c r="G662" t="s">
        <v>16</v>
      </c>
    </row>
    <row r="663" spans="1:7" x14ac:dyDescent="0.25">
      <c r="A663">
        <v>56</v>
      </c>
      <c r="B663" t="s">
        <v>223</v>
      </c>
      <c r="C663">
        <v>20</v>
      </c>
      <c r="D663" t="s">
        <v>109</v>
      </c>
      <c r="E663" t="s">
        <v>15</v>
      </c>
      <c r="F663">
        <v>0.94</v>
      </c>
      <c r="G663" t="s">
        <v>16</v>
      </c>
    </row>
    <row r="664" spans="1:7" x14ac:dyDescent="0.25">
      <c r="A664">
        <v>56</v>
      </c>
      <c r="B664" t="s">
        <v>223</v>
      </c>
      <c r="C664">
        <v>30</v>
      </c>
      <c r="D664" t="s">
        <v>110</v>
      </c>
      <c r="E664" t="s">
        <v>15</v>
      </c>
      <c r="F664">
        <v>0.94</v>
      </c>
      <c r="G664" t="s">
        <v>16</v>
      </c>
    </row>
    <row r="665" spans="1:7" x14ac:dyDescent="0.25">
      <c r="A665">
        <v>56</v>
      </c>
      <c r="B665" t="s">
        <v>223</v>
      </c>
      <c r="C665">
        <v>40</v>
      </c>
      <c r="D665" t="s">
        <v>105</v>
      </c>
      <c r="E665" t="s">
        <v>106</v>
      </c>
      <c r="F665">
        <v>0.27300000000000002</v>
      </c>
      <c r="G665" t="s">
        <v>14</v>
      </c>
    </row>
    <row r="666" spans="1:7" x14ac:dyDescent="0.25">
      <c r="A666">
        <v>56</v>
      </c>
      <c r="B666" t="s">
        <v>223</v>
      </c>
      <c r="C666">
        <v>50</v>
      </c>
      <c r="D666" t="s">
        <v>107</v>
      </c>
      <c r="E666" t="s">
        <v>15</v>
      </c>
      <c r="F666">
        <v>11.989000000000001</v>
      </c>
      <c r="G666" t="s">
        <v>14</v>
      </c>
    </row>
    <row r="667" spans="1:7" x14ac:dyDescent="0.25">
      <c r="A667">
        <v>56</v>
      </c>
      <c r="B667" t="s">
        <v>223</v>
      </c>
      <c r="C667">
        <v>60</v>
      </c>
      <c r="D667" t="s">
        <v>18</v>
      </c>
      <c r="E667" t="s">
        <v>15</v>
      </c>
      <c r="F667">
        <v>73.730999999999995</v>
      </c>
      <c r="G667" t="s">
        <v>14</v>
      </c>
    </row>
    <row r="668" spans="1:7" x14ac:dyDescent="0.25">
      <c r="A668">
        <v>56</v>
      </c>
      <c r="B668" t="s">
        <v>223</v>
      </c>
      <c r="C668">
        <v>70</v>
      </c>
      <c r="D668" t="s">
        <v>113</v>
      </c>
      <c r="E668" t="s">
        <v>11</v>
      </c>
      <c r="F668">
        <v>4</v>
      </c>
      <c r="G668" t="s">
        <v>14</v>
      </c>
    </row>
    <row r="669" spans="1:7" x14ac:dyDescent="0.25">
      <c r="A669">
        <v>56</v>
      </c>
      <c r="B669" t="s">
        <v>223</v>
      </c>
      <c r="C669">
        <v>80</v>
      </c>
      <c r="D669" t="s">
        <v>21</v>
      </c>
      <c r="E669" t="s">
        <v>11</v>
      </c>
      <c r="F669">
        <v>1</v>
      </c>
      <c r="G669" t="s">
        <v>14</v>
      </c>
    </row>
    <row r="670" spans="1:7" x14ac:dyDescent="0.25">
      <c r="A670">
        <v>56</v>
      </c>
      <c r="B670" t="s">
        <v>223</v>
      </c>
      <c r="C670">
        <v>90</v>
      </c>
      <c r="D670" t="s">
        <v>22</v>
      </c>
      <c r="E670" t="s">
        <v>11</v>
      </c>
      <c r="F670">
        <v>1</v>
      </c>
      <c r="G670" t="s">
        <v>14</v>
      </c>
    </row>
    <row r="671" spans="1:7" x14ac:dyDescent="0.25">
      <c r="A671">
        <v>56</v>
      </c>
      <c r="B671" t="s">
        <v>223</v>
      </c>
      <c r="C671">
        <v>100</v>
      </c>
      <c r="D671" t="s">
        <v>23</v>
      </c>
      <c r="E671" t="s">
        <v>11</v>
      </c>
      <c r="F671">
        <v>1</v>
      </c>
      <c r="G671" t="s">
        <v>14</v>
      </c>
    </row>
    <row r="672" spans="1:7" x14ac:dyDescent="0.25">
      <c r="A672">
        <v>56</v>
      </c>
      <c r="B672" t="s">
        <v>223</v>
      </c>
      <c r="C672">
        <v>110</v>
      </c>
      <c r="D672" t="s">
        <v>111</v>
      </c>
      <c r="E672" t="s">
        <v>13</v>
      </c>
      <c r="F672">
        <v>0.622</v>
      </c>
      <c r="G672" t="s">
        <v>14</v>
      </c>
    </row>
    <row r="673" spans="1:7" x14ac:dyDescent="0.25">
      <c r="A673">
        <v>56</v>
      </c>
      <c r="B673" t="s">
        <v>223</v>
      </c>
      <c r="C673">
        <v>120</v>
      </c>
      <c r="D673" t="s">
        <v>224</v>
      </c>
      <c r="E673" t="s">
        <v>11</v>
      </c>
      <c r="F673">
        <v>1</v>
      </c>
      <c r="G673" t="s">
        <v>16</v>
      </c>
    </row>
    <row r="674" spans="1:7" x14ac:dyDescent="0.25">
      <c r="A674">
        <v>57</v>
      </c>
      <c r="B674" t="s">
        <v>225</v>
      </c>
      <c r="C674">
        <v>10</v>
      </c>
      <c r="D674" t="s">
        <v>319</v>
      </c>
      <c r="E674" t="s">
        <v>11</v>
      </c>
      <c r="F674">
        <v>1</v>
      </c>
      <c r="G674" t="s">
        <v>16</v>
      </c>
    </row>
    <row r="675" spans="1:7" x14ac:dyDescent="0.25">
      <c r="A675">
        <v>57</v>
      </c>
      <c r="B675" t="s">
        <v>225</v>
      </c>
      <c r="C675">
        <v>20</v>
      </c>
      <c r="D675" t="s">
        <v>109</v>
      </c>
      <c r="E675" t="s">
        <v>15</v>
      </c>
      <c r="F675">
        <v>1.0920000000000001</v>
      </c>
      <c r="G675" t="s">
        <v>16</v>
      </c>
    </row>
    <row r="676" spans="1:7" x14ac:dyDescent="0.25">
      <c r="A676">
        <v>57</v>
      </c>
      <c r="B676" t="s">
        <v>225</v>
      </c>
      <c r="C676">
        <v>30</v>
      </c>
      <c r="D676" t="s">
        <v>110</v>
      </c>
      <c r="E676" t="s">
        <v>15</v>
      </c>
      <c r="F676">
        <v>1.0920000000000001</v>
      </c>
      <c r="G676" t="s">
        <v>16</v>
      </c>
    </row>
    <row r="677" spans="1:7" x14ac:dyDescent="0.25">
      <c r="A677">
        <v>57</v>
      </c>
      <c r="B677" t="s">
        <v>225</v>
      </c>
      <c r="C677">
        <v>40</v>
      </c>
      <c r="D677" t="s">
        <v>105</v>
      </c>
      <c r="E677" t="s">
        <v>106</v>
      </c>
      <c r="F677">
        <v>0.32</v>
      </c>
      <c r="G677" t="s">
        <v>14</v>
      </c>
    </row>
    <row r="678" spans="1:7" x14ac:dyDescent="0.25">
      <c r="A678">
        <v>57</v>
      </c>
      <c r="B678" t="s">
        <v>225</v>
      </c>
      <c r="C678">
        <v>50</v>
      </c>
      <c r="D678" t="s">
        <v>107</v>
      </c>
      <c r="E678" t="s">
        <v>15</v>
      </c>
      <c r="F678">
        <v>12.598000000000001</v>
      </c>
      <c r="G678" t="s">
        <v>14</v>
      </c>
    </row>
    <row r="679" spans="1:7" x14ac:dyDescent="0.25">
      <c r="A679">
        <v>57</v>
      </c>
      <c r="B679" t="s">
        <v>225</v>
      </c>
      <c r="C679">
        <v>60</v>
      </c>
      <c r="D679" t="s">
        <v>18</v>
      </c>
      <c r="E679" t="s">
        <v>15</v>
      </c>
      <c r="F679">
        <v>77.48</v>
      </c>
      <c r="G679" t="s">
        <v>14</v>
      </c>
    </row>
    <row r="680" spans="1:7" x14ac:dyDescent="0.25">
      <c r="A680">
        <v>57</v>
      </c>
      <c r="B680" t="s">
        <v>225</v>
      </c>
      <c r="C680">
        <v>70</v>
      </c>
      <c r="D680" t="s">
        <v>113</v>
      </c>
      <c r="E680" t="s">
        <v>11</v>
      </c>
      <c r="F680">
        <v>4</v>
      </c>
      <c r="G680" t="s">
        <v>14</v>
      </c>
    </row>
    <row r="681" spans="1:7" x14ac:dyDescent="0.25">
      <c r="A681">
        <v>57</v>
      </c>
      <c r="B681" t="s">
        <v>225</v>
      </c>
      <c r="C681">
        <v>80</v>
      </c>
      <c r="D681" t="s">
        <v>21</v>
      </c>
      <c r="E681" t="s">
        <v>11</v>
      </c>
      <c r="F681">
        <v>1</v>
      </c>
      <c r="G681" t="s">
        <v>14</v>
      </c>
    </row>
    <row r="682" spans="1:7" x14ac:dyDescent="0.25">
      <c r="A682">
        <v>57</v>
      </c>
      <c r="B682" t="s">
        <v>225</v>
      </c>
      <c r="C682">
        <v>90</v>
      </c>
      <c r="D682" t="s">
        <v>22</v>
      </c>
      <c r="E682" t="s">
        <v>11</v>
      </c>
      <c r="F682">
        <v>1</v>
      </c>
      <c r="G682" t="s">
        <v>14</v>
      </c>
    </row>
    <row r="683" spans="1:7" x14ac:dyDescent="0.25">
      <c r="A683">
        <v>57</v>
      </c>
      <c r="B683" t="s">
        <v>225</v>
      </c>
      <c r="C683">
        <v>100</v>
      </c>
      <c r="D683" t="s">
        <v>23</v>
      </c>
      <c r="E683" t="s">
        <v>11</v>
      </c>
      <c r="F683">
        <v>1</v>
      </c>
      <c r="G683" t="s">
        <v>14</v>
      </c>
    </row>
    <row r="684" spans="1:7" x14ac:dyDescent="0.25">
      <c r="A684">
        <v>57</v>
      </c>
      <c r="B684" t="s">
        <v>225</v>
      </c>
      <c r="C684">
        <v>110</v>
      </c>
      <c r="D684" t="s">
        <v>111</v>
      </c>
      <c r="E684" t="s">
        <v>13</v>
      </c>
      <c r="F684">
        <v>0.70299999999999996</v>
      </c>
      <c r="G684" t="s">
        <v>14</v>
      </c>
    </row>
    <row r="685" spans="1:7" x14ac:dyDescent="0.25">
      <c r="A685">
        <v>57</v>
      </c>
      <c r="B685" t="s">
        <v>225</v>
      </c>
      <c r="C685">
        <v>120</v>
      </c>
      <c r="D685" t="s">
        <v>226</v>
      </c>
      <c r="E685" t="s">
        <v>11</v>
      </c>
      <c r="F685">
        <v>1</v>
      </c>
      <c r="G685" t="s">
        <v>16</v>
      </c>
    </row>
    <row r="686" spans="1:7" x14ac:dyDescent="0.25">
      <c r="A686">
        <v>58</v>
      </c>
      <c r="B686" t="s">
        <v>227</v>
      </c>
      <c r="C686">
        <v>10</v>
      </c>
      <c r="D686" t="s">
        <v>320</v>
      </c>
      <c r="E686" t="s">
        <v>11</v>
      </c>
      <c r="F686">
        <v>1</v>
      </c>
      <c r="G686" t="s">
        <v>16</v>
      </c>
    </row>
    <row r="687" spans="1:7" x14ac:dyDescent="0.25">
      <c r="A687">
        <v>58</v>
      </c>
      <c r="B687" t="s">
        <v>227</v>
      </c>
      <c r="C687">
        <v>20</v>
      </c>
      <c r="D687" t="s">
        <v>109</v>
      </c>
      <c r="E687" t="s">
        <v>15</v>
      </c>
      <c r="F687">
        <v>1.2450000000000001</v>
      </c>
      <c r="G687" t="s">
        <v>16</v>
      </c>
    </row>
    <row r="688" spans="1:7" x14ac:dyDescent="0.25">
      <c r="A688">
        <v>58</v>
      </c>
      <c r="B688" t="s">
        <v>227</v>
      </c>
      <c r="C688">
        <v>30</v>
      </c>
      <c r="D688" t="s">
        <v>110</v>
      </c>
      <c r="E688" t="s">
        <v>15</v>
      </c>
      <c r="F688">
        <v>1.2450000000000001</v>
      </c>
      <c r="G688" t="s">
        <v>16</v>
      </c>
    </row>
    <row r="689" spans="1:7" x14ac:dyDescent="0.25">
      <c r="A689">
        <v>58</v>
      </c>
      <c r="B689" t="s">
        <v>227</v>
      </c>
      <c r="C689">
        <v>40</v>
      </c>
      <c r="D689" t="s">
        <v>105</v>
      </c>
      <c r="E689" t="s">
        <v>106</v>
      </c>
      <c r="F689">
        <v>0.36599999999999999</v>
      </c>
      <c r="G689" t="s">
        <v>14</v>
      </c>
    </row>
    <row r="690" spans="1:7" x14ac:dyDescent="0.25">
      <c r="A690">
        <v>58</v>
      </c>
      <c r="B690" t="s">
        <v>227</v>
      </c>
      <c r="C690">
        <v>50</v>
      </c>
      <c r="D690" t="s">
        <v>107</v>
      </c>
      <c r="E690" t="s">
        <v>15</v>
      </c>
      <c r="F690">
        <v>13.208</v>
      </c>
      <c r="G690" t="s">
        <v>14</v>
      </c>
    </row>
    <row r="691" spans="1:7" x14ac:dyDescent="0.25">
      <c r="A691">
        <v>58</v>
      </c>
      <c r="B691" t="s">
        <v>227</v>
      </c>
      <c r="C691">
        <v>60</v>
      </c>
      <c r="D691" t="s">
        <v>18</v>
      </c>
      <c r="E691" t="s">
        <v>15</v>
      </c>
      <c r="F691">
        <v>81.228999999999999</v>
      </c>
      <c r="G691" t="s">
        <v>14</v>
      </c>
    </row>
    <row r="692" spans="1:7" x14ac:dyDescent="0.25">
      <c r="A692">
        <v>58</v>
      </c>
      <c r="B692" t="s">
        <v>227</v>
      </c>
      <c r="C692">
        <v>70</v>
      </c>
      <c r="D692" t="s">
        <v>113</v>
      </c>
      <c r="E692" t="s">
        <v>11</v>
      </c>
      <c r="F692">
        <v>4</v>
      </c>
      <c r="G692" t="s">
        <v>14</v>
      </c>
    </row>
    <row r="693" spans="1:7" x14ac:dyDescent="0.25">
      <c r="A693">
        <v>58</v>
      </c>
      <c r="B693" t="s">
        <v>227</v>
      </c>
      <c r="C693">
        <v>80</v>
      </c>
      <c r="D693" t="s">
        <v>21</v>
      </c>
      <c r="E693" t="s">
        <v>11</v>
      </c>
      <c r="F693">
        <v>1</v>
      </c>
      <c r="G693" t="s">
        <v>14</v>
      </c>
    </row>
    <row r="694" spans="1:7" x14ac:dyDescent="0.25">
      <c r="A694">
        <v>58</v>
      </c>
      <c r="B694" t="s">
        <v>227</v>
      </c>
      <c r="C694">
        <v>90</v>
      </c>
      <c r="D694" t="s">
        <v>22</v>
      </c>
      <c r="E694" t="s">
        <v>11</v>
      </c>
      <c r="F694">
        <v>1</v>
      </c>
      <c r="G694" t="s">
        <v>14</v>
      </c>
    </row>
    <row r="695" spans="1:7" x14ac:dyDescent="0.25">
      <c r="A695">
        <v>58</v>
      </c>
      <c r="B695" t="s">
        <v>227</v>
      </c>
      <c r="C695">
        <v>100</v>
      </c>
      <c r="D695" t="s">
        <v>23</v>
      </c>
      <c r="E695" t="s">
        <v>11</v>
      </c>
      <c r="F695">
        <v>1</v>
      </c>
      <c r="G695" t="s">
        <v>14</v>
      </c>
    </row>
    <row r="696" spans="1:7" x14ac:dyDescent="0.25">
      <c r="A696">
        <v>58</v>
      </c>
      <c r="B696" t="s">
        <v>227</v>
      </c>
      <c r="C696">
        <v>110</v>
      </c>
      <c r="D696" t="s">
        <v>111</v>
      </c>
      <c r="E696" t="s">
        <v>13</v>
      </c>
      <c r="F696">
        <v>0.78400000000000003</v>
      </c>
      <c r="G696" t="s">
        <v>14</v>
      </c>
    </row>
    <row r="697" spans="1:7" x14ac:dyDescent="0.25">
      <c r="A697">
        <v>58</v>
      </c>
      <c r="B697" t="s">
        <v>227</v>
      </c>
      <c r="C697">
        <v>120</v>
      </c>
      <c r="D697" t="s">
        <v>228</v>
      </c>
      <c r="E697" t="s">
        <v>11</v>
      </c>
      <c r="F697">
        <v>1</v>
      </c>
      <c r="G697" t="s">
        <v>16</v>
      </c>
    </row>
    <row r="698" spans="1:7" x14ac:dyDescent="0.25">
      <c r="A698">
        <v>59</v>
      </c>
      <c r="B698" t="s">
        <v>229</v>
      </c>
      <c r="C698">
        <v>10</v>
      </c>
      <c r="D698" t="s">
        <v>321</v>
      </c>
      <c r="E698" t="s">
        <v>11</v>
      </c>
      <c r="F698">
        <v>1</v>
      </c>
      <c r="G698" t="s">
        <v>16</v>
      </c>
    </row>
    <row r="699" spans="1:7" x14ac:dyDescent="0.25">
      <c r="A699">
        <v>59</v>
      </c>
      <c r="B699" t="s">
        <v>229</v>
      </c>
      <c r="C699">
        <v>20</v>
      </c>
      <c r="D699" t="s">
        <v>109</v>
      </c>
      <c r="E699" t="s">
        <v>15</v>
      </c>
      <c r="F699">
        <v>1.5489999999999999</v>
      </c>
      <c r="G699" t="s">
        <v>16</v>
      </c>
    </row>
    <row r="700" spans="1:7" x14ac:dyDescent="0.25">
      <c r="A700">
        <v>59</v>
      </c>
      <c r="B700" t="s">
        <v>229</v>
      </c>
      <c r="C700">
        <v>30</v>
      </c>
      <c r="D700" t="s">
        <v>110</v>
      </c>
      <c r="E700" t="s">
        <v>15</v>
      </c>
      <c r="F700">
        <v>1.5489999999999999</v>
      </c>
      <c r="G700" t="s">
        <v>16</v>
      </c>
    </row>
    <row r="701" spans="1:7" x14ac:dyDescent="0.25">
      <c r="A701">
        <v>59</v>
      </c>
      <c r="B701" t="s">
        <v>229</v>
      </c>
      <c r="C701">
        <v>40</v>
      </c>
      <c r="D701" t="s">
        <v>105</v>
      </c>
      <c r="E701" t="s">
        <v>106</v>
      </c>
      <c r="F701">
        <v>0.46</v>
      </c>
      <c r="G701" t="s">
        <v>14</v>
      </c>
    </row>
    <row r="702" spans="1:7" x14ac:dyDescent="0.25">
      <c r="A702">
        <v>59</v>
      </c>
      <c r="B702" t="s">
        <v>229</v>
      </c>
      <c r="C702">
        <v>50</v>
      </c>
      <c r="D702" t="s">
        <v>107</v>
      </c>
      <c r="E702" t="s">
        <v>15</v>
      </c>
      <c r="F702">
        <v>14.427</v>
      </c>
      <c r="G702" t="s">
        <v>14</v>
      </c>
    </row>
    <row r="703" spans="1:7" x14ac:dyDescent="0.25">
      <c r="A703">
        <v>59</v>
      </c>
      <c r="B703" t="s">
        <v>229</v>
      </c>
      <c r="C703">
        <v>60</v>
      </c>
      <c r="D703" t="s">
        <v>18</v>
      </c>
      <c r="E703" t="s">
        <v>15</v>
      </c>
      <c r="F703">
        <v>88.727000000000004</v>
      </c>
      <c r="G703" t="s">
        <v>14</v>
      </c>
    </row>
    <row r="704" spans="1:7" x14ac:dyDescent="0.25">
      <c r="A704">
        <v>59</v>
      </c>
      <c r="B704" t="s">
        <v>229</v>
      </c>
      <c r="C704">
        <v>70</v>
      </c>
      <c r="D704" t="s">
        <v>113</v>
      </c>
      <c r="E704" t="s">
        <v>11</v>
      </c>
      <c r="F704">
        <v>4</v>
      </c>
      <c r="G704" t="s">
        <v>14</v>
      </c>
    </row>
    <row r="705" spans="1:7" x14ac:dyDescent="0.25">
      <c r="A705">
        <v>59</v>
      </c>
      <c r="B705" t="s">
        <v>229</v>
      </c>
      <c r="C705">
        <v>80</v>
      </c>
      <c r="D705" t="s">
        <v>21</v>
      </c>
      <c r="E705" t="s">
        <v>11</v>
      </c>
      <c r="F705">
        <v>1</v>
      </c>
      <c r="G705" t="s">
        <v>14</v>
      </c>
    </row>
    <row r="706" spans="1:7" x14ac:dyDescent="0.25">
      <c r="A706">
        <v>59</v>
      </c>
      <c r="B706" t="s">
        <v>229</v>
      </c>
      <c r="C706">
        <v>90</v>
      </c>
      <c r="D706" t="s">
        <v>22</v>
      </c>
      <c r="E706" t="s">
        <v>11</v>
      </c>
      <c r="F706">
        <v>1</v>
      </c>
      <c r="G706" t="s">
        <v>14</v>
      </c>
    </row>
    <row r="707" spans="1:7" x14ac:dyDescent="0.25">
      <c r="A707">
        <v>59</v>
      </c>
      <c r="B707" t="s">
        <v>229</v>
      </c>
      <c r="C707">
        <v>100</v>
      </c>
      <c r="D707" t="s">
        <v>23</v>
      </c>
      <c r="E707" t="s">
        <v>11</v>
      </c>
      <c r="F707">
        <v>1</v>
      </c>
      <c r="G707" t="s">
        <v>14</v>
      </c>
    </row>
    <row r="708" spans="1:7" x14ac:dyDescent="0.25">
      <c r="A708">
        <v>59</v>
      </c>
      <c r="B708" t="s">
        <v>229</v>
      </c>
      <c r="C708">
        <v>110</v>
      </c>
      <c r="D708" t="s">
        <v>111</v>
      </c>
      <c r="E708" t="s">
        <v>13</v>
      </c>
      <c r="F708">
        <v>0.94599999999999995</v>
      </c>
      <c r="G708" t="s">
        <v>14</v>
      </c>
    </row>
    <row r="709" spans="1:7" x14ac:dyDescent="0.25">
      <c r="A709">
        <v>59</v>
      </c>
      <c r="B709" t="s">
        <v>229</v>
      </c>
      <c r="C709">
        <v>120</v>
      </c>
      <c r="D709" t="s">
        <v>230</v>
      </c>
      <c r="E709" t="s">
        <v>11</v>
      </c>
      <c r="F709">
        <v>1</v>
      </c>
      <c r="G709" t="s">
        <v>16</v>
      </c>
    </row>
    <row r="710" spans="1:7" x14ac:dyDescent="0.25">
      <c r="A710">
        <v>60</v>
      </c>
      <c r="B710" t="s">
        <v>231</v>
      </c>
      <c r="C710">
        <v>10</v>
      </c>
      <c r="D710" t="s">
        <v>322</v>
      </c>
      <c r="E710" t="s">
        <v>11</v>
      </c>
      <c r="F710">
        <v>1</v>
      </c>
      <c r="G710" t="s">
        <v>16</v>
      </c>
    </row>
    <row r="711" spans="1:7" x14ac:dyDescent="0.25">
      <c r="A711">
        <v>60</v>
      </c>
      <c r="B711" t="s">
        <v>231</v>
      </c>
      <c r="C711">
        <v>20</v>
      </c>
      <c r="D711" t="s">
        <v>109</v>
      </c>
      <c r="E711" t="s">
        <v>15</v>
      </c>
      <c r="F711">
        <v>1.702</v>
      </c>
      <c r="G711" t="s">
        <v>16</v>
      </c>
    </row>
    <row r="712" spans="1:7" x14ac:dyDescent="0.25">
      <c r="A712">
        <v>60</v>
      </c>
      <c r="B712" t="s">
        <v>231</v>
      </c>
      <c r="C712">
        <v>30</v>
      </c>
      <c r="D712" t="s">
        <v>110</v>
      </c>
      <c r="E712" t="s">
        <v>15</v>
      </c>
      <c r="F712">
        <v>1.702</v>
      </c>
      <c r="G712" t="s">
        <v>16</v>
      </c>
    </row>
    <row r="713" spans="1:7" x14ac:dyDescent="0.25">
      <c r="A713">
        <v>60</v>
      </c>
      <c r="B713" t="s">
        <v>231</v>
      </c>
      <c r="C713">
        <v>40</v>
      </c>
      <c r="D713" t="s">
        <v>105</v>
      </c>
      <c r="E713" t="s">
        <v>106</v>
      </c>
      <c r="F713">
        <v>0.50700000000000001</v>
      </c>
      <c r="G713" t="s">
        <v>14</v>
      </c>
    </row>
    <row r="714" spans="1:7" x14ac:dyDescent="0.25">
      <c r="A714">
        <v>60</v>
      </c>
      <c r="B714" t="s">
        <v>231</v>
      </c>
      <c r="C714">
        <v>50</v>
      </c>
      <c r="D714" t="s">
        <v>107</v>
      </c>
      <c r="E714" t="s">
        <v>15</v>
      </c>
      <c r="F714">
        <v>15.037000000000001</v>
      </c>
      <c r="G714" t="s">
        <v>14</v>
      </c>
    </row>
    <row r="715" spans="1:7" x14ac:dyDescent="0.25">
      <c r="A715">
        <v>60</v>
      </c>
      <c r="B715" t="s">
        <v>231</v>
      </c>
      <c r="C715">
        <v>60</v>
      </c>
      <c r="D715" t="s">
        <v>18</v>
      </c>
      <c r="E715" t="s">
        <v>15</v>
      </c>
      <c r="F715">
        <v>92.475999999999999</v>
      </c>
      <c r="G715" t="s">
        <v>14</v>
      </c>
    </row>
    <row r="716" spans="1:7" x14ac:dyDescent="0.25">
      <c r="A716">
        <v>60</v>
      </c>
      <c r="B716" t="s">
        <v>231</v>
      </c>
      <c r="C716">
        <v>70</v>
      </c>
      <c r="D716" t="s">
        <v>113</v>
      </c>
      <c r="E716" t="s">
        <v>11</v>
      </c>
      <c r="F716">
        <v>4</v>
      </c>
      <c r="G716" t="s">
        <v>14</v>
      </c>
    </row>
    <row r="717" spans="1:7" x14ac:dyDescent="0.25">
      <c r="A717">
        <v>60</v>
      </c>
      <c r="B717" t="s">
        <v>231</v>
      </c>
      <c r="C717">
        <v>80</v>
      </c>
      <c r="D717" t="s">
        <v>21</v>
      </c>
      <c r="E717" t="s">
        <v>11</v>
      </c>
      <c r="F717">
        <v>1</v>
      </c>
      <c r="G717" t="s">
        <v>14</v>
      </c>
    </row>
    <row r="718" spans="1:7" x14ac:dyDescent="0.25">
      <c r="A718">
        <v>60</v>
      </c>
      <c r="B718" t="s">
        <v>231</v>
      </c>
      <c r="C718">
        <v>90</v>
      </c>
      <c r="D718" t="s">
        <v>22</v>
      </c>
      <c r="E718" t="s">
        <v>11</v>
      </c>
      <c r="F718">
        <v>1</v>
      </c>
      <c r="G718" t="s">
        <v>14</v>
      </c>
    </row>
    <row r="719" spans="1:7" x14ac:dyDescent="0.25">
      <c r="A719">
        <v>60</v>
      </c>
      <c r="B719" t="s">
        <v>231</v>
      </c>
      <c r="C719">
        <v>100</v>
      </c>
      <c r="D719" t="s">
        <v>23</v>
      </c>
      <c r="E719" t="s">
        <v>11</v>
      </c>
      <c r="F719">
        <v>1</v>
      </c>
      <c r="G719" t="s">
        <v>14</v>
      </c>
    </row>
    <row r="720" spans="1:7" x14ac:dyDescent="0.25">
      <c r="A720">
        <v>60</v>
      </c>
      <c r="B720" t="s">
        <v>231</v>
      </c>
      <c r="C720">
        <v>110</v>
      </c>
      <c r="D720" t="s">
        <v>111</v>
      </c>
      <c r="E720" t="s">
        <v>13</v>
      </c>
      <c r="F720">
        <v>1.0269999999999999</v>
      </c>
      <c r="G720" t="s">
        <v>14</v>
      </c>
    </row>
    <row r="721" spans="1:7" x14ac:dyDescent="0.25">
      <c r="A721">
        <v>60</v>
      </c>
      <c r="B721" t="s">
        <v>231</v>
      </c>
      <c r="C721">
        <v>120</v>
      </c>
      <c r="D721" t="s">
        <v>232</v>
      </c>
      <c r="E721" t="s">
        <v>11</v>
      </c>
      <c r="F721">
        <v>1</v>
      </c>
      <c r="G721" t="s">
        <v>16</v>
      </c>
    </row>
    <row r="722" spans="1:7" x14ac:dyDescent="0.25">
      <c r="A722">
        <v>61</v>
      </c>
      <c r="B722" t="s">
        <v>233</v>
      </c>
      <c r="C722">
        <v>10</v>
      </c>
      <c r="D722" t="s">
        <v>323</v>
      </c>
      <c r="E722" t="s">
        <v>11</v>
      </c>
      <c r="F722">
        <v>1</v>
      </c>
      <c r="G722" t="s">
        <v>16</v>
      </c>
    </row>
    <row r="723" spans="1:7" x14ac:dyDescent="0.25">
      <c r="A723">
        <v>61</v>
      </c>
      <c r="B723" t="s">
        <v>233</v>
      </c>
      <c r="C723">
        <v>20</v>
      </c>
      <c r="D723" t="s">
        <v>109</v>
      </c>
      <c r="E723" t="s">
        <v>15</v>
      </c>
      <c r="F723">
        <v>1.8540000000000001</v>
      </c>
      <c r="G723" t="s">
        <v>16</v>
      </c>
    </row>
    <row r="724" spans="1:7" x14ac:dyDescent="0.25">
      <c r="A724">
        <v>61</v>
      </c>
      <c r="B724" t="s">
        <v>233</v>
      </c>
      <c r="C724">
        <v>30</v>
      </c>
      <c r="D724" t="s">
        <v>110</v>
      </c>
      <c r="E724" t="s">
        <v>15</v>
      </c>
      <c r="F724">
        <v>1.8540000000000001</v>
      </c>
      <c r="G724" t="s">
        <v>16</v>
      </c>
    </row>
    <row r="725" spans="1:7" x14ac:dyDescent="0.25">
      <c r="A725">
        <v>61</v>
      </c>
      <c r="B725" t="s">
        <v>233</v>
      </c>
      <c r="C725">
        <v>40</v>
      </c>
      <c r="D725" t="s">
        <v>105</v>
      </c>
      <c r="E725" t="s">
        <v>106</v>
      </c>
      <c r="F725">
        <v>0.55400000000000005</v>
      </c>
      <c r="G725" t="s">
        <v>14</v>
      </c>
    </row>
    <row r="726" spans="1:7" x14ac:dyDescent="0.25">
      <c r="A726">
        <v>61</v>
      </c>
      <c r="B726" t="s">
        <v>233</v>
      </c>
      <c r="C726">
        <v>50</v>
      </c>
      <c r="D726" t="s">
        <v>107</v>
      </c>
      <c r="E726" t="s">
        <v>15</v>
      </c>
      <c r="F726">
        <v>15.646000000000001</v>
      </c>
      <c r="G726" t="s">
        <v>14</v>
      </c>
    </row>
    <row r="727" spans="1:7" x14ac:dyDescent="0.25">
      <c r="A727">
        <v>61</v>
      </c>
      <c r="B727" t="s">
        <v>233</v>
      </c>
      <c r="C727">
        <v>60</v>
      </c>
      <c r="D727" t="s">
        <v>18</v>
      </c>
      <c r="E727" t="s">
        <v>15</v>
      </c>
      <c r="F727">
        <v>96.224999999999994</v>
      </c>
      <c r="G727" t="s">
        <v>14</v>
      </c>
    </row>
    <row r="728" spans="1:7" x14ac:dyDescent="0.25">
      <c r="A728">
        <v>61</v>
      </c>
      <c r="B728" t="s">
        <v>233</v>
      </c>
      <c r="C728">
        <v>70</v>
      </c>
      <c r="D728" t="s">
        <v>113</v>
      </c>
      <c r="E728" t="s">
        <v>11</v>
      </c>
      <c r="F728">
        <v>4</v>
      </c>
      <c r="G728" t="s">
        <v>14</v>
      </c>
    </row>
    <row r="729" spans="1:7" x14ac:dyDescent="0.25">
      <c r="A729">
        <v>61</v>
      </c>
      <c r="B729" t="s">
        <v>233</v>
      </c>
      <c r="C729">
        <v>80</v>
      </c>
      <c r="D729" t="s">
        <v>21</v>
      </c>
      <c r="E729" t="s">
        <v>11</v>
      </c>
      <c r="F729">
        <v>1</v>
      </c>
      <c r="G729" t="s">
        <v>14</v>
      </c>
    </row>
    <row r="730" spans="1:7" x14ac:dyDescent="0.25">
      <c r="A730">
        <v>61</v>
      </c>
      <c r="B730" t="s">
        <v>233</v>
      </c>
      <c r="C730">
        <v>90</v>
      </c>
      <c r="D730" t="s">
        <v>22</v>
      </c>
      <c r="E730" t="s">
        <v>11</v>
      </c>
      <c r="F730">
        <v>1</v>
      </c>
      <c r="G730" t="s">
        <v>14</v>
      </c>
    </row>
    <row r="731" spans="1:7" x14ac:dyDescent="0.25">
      <c r="A731">
        <v>61</v>
      </c>
      <c r="B731" t="s">
        <v>233</v>
      </c>
      <c r="C731">
        <v>100</v>
      </c>
      <c r="D731" t="s">
        <v>23</v>
      </c>
      <c r="E731" t="s">
        <v>11</v>
      </c>
      <c r="F731">
        <v>1</v>
      </c>
      <c r="G731" t="s">
        <v>14</v>
      </c>
    </row>
    <row r="732" spans="1:7" x14ac:dyDescent="0.25">
      <c r="A732">
        <v>61</v>
      </c>
      <c r="B732" t="s">
        <v>233</v>
      </c>
      <c r="C732">
        <v>110</v>
      </c>
      <c r="D732" t="s">
        <v>111</v>
      </c>
      <c r="E732" t="s">
        <v>13</v>
      </c>
      <c r="F732">
        <v>1.1080000000000001</v>
      </c>
      <c r="G732" t="s">
        <v>14</v>
      </c>
    </row>
    <row r="733" spans="1:7" x14ac:dyDescent="0.25">
      <c r="A733">
        <v>61</v>
      </c>
      <c r="B733" t="s">
        <v>233</v>
      </c>
      <c r="C733">
        <v>120</v>
      </c>
      <c r="D733" t="s">
        <v>234</v>
      </c>
      <c r="E733" t="s">
        <v>11</v>
      </c>
      <c r="F733">
        <v>1</v>
      </c>
      <c r="G733" t="s">
        <v>16</v>
      </c>
    </row>
    <row r="734" spans="1:7" x14ac:dyDescent="0.25">
      <c r="A734">
        <v>62</v>
      </c>
      <c r="B734" t="s">
        <v>235</v>
      </c>
      <c r="C734">
        <v>10</v>
      </c>
      <c r="D734" t="s">
        <v>324</v>
      </c>
      <c r="E734" t="s">
        <v>11</v>
      </c>
      <c r="F734">
        <v>1</v>
      </c>
      <c r="G734" t="s">
        <v>16</v>
      </c>
    </row>
    <row r="735" spans="1:7" x14ac:dyDescent="0.25">
      <c r="A735">
        <v>62</v>
      </c>
      <c r="B735" t="s">
        <v>235</v>
      </c>
      <c r="C735">
        <v>20</v>
      </c>
      <c r="D735" t="s">
        <v>109</v>
      </c>
      <c r="E735" t="s">
        <v>15</v>
      </c>
      <c r="F735">
        <v>2.0569999999999999</v>
      </c>
      <c r="G735" t="s">
        <v>16</v>
      </c>
    </row>
    <row r="736" spans="1:7" x14ac:dyDescent="0.25">
      <c r="A736">
        <v>62</v>
      </c>
      <c r="B736" t="s">
        <v>235</v>
      </c>
      <c r="C736">
        <v>30</v>
      </c>
      <c r="D736" t="s">
        <v>110</v>
      </c>
      <c r="E736" t="s">
        <v>15</v>
      </c>
      <c r="F736">
        <v>2.0569999999999999</v>
      </c>
      <c r="G736" t="s">
        <v>16</v>
      </c>
    </row>
    <row r="737" spans="1:7" x14ac:dyDescent="0.25">
      <c r="A737">
        <v>62</v>
      </c>
      <c r="B737" t="s">
        <v>235</v>
      </c>
      <c r="C737">
        <v>40</v>
      </c>
      <c r="D737" t="s">
        <v>105</v>
      </c>
      <c r="E737" t="s">
        <v>106</v>
      </c>
      <c r="F737">
        <v>0.23200000000000001</v>
      </c>
      <c r="G737" t="s">
        <v>14</v>
      </c>
    </row>
    <row r="738" spans="1:7" x14ac:dyDescent="0.25">
      <c r="A738">
        <v>62</v>
      </c>
      <c r="B738" t="s">
        <v>235</v>
      </c>
      <c r="C738">
        <v>50</v>
      </c>
      <c r="D738" t="s">
        <v>107</v>
      </c>
      <c r="E738" t="s">
        <v>15</v>
      </c>
      <c r="F738">
        <v>11.582000000000001</v>
      </c>
      <c r="G738" t="s">
        <v>14</v>
      </c>
    </row>
    <row r="739" spans="1:7" x14ac:dyDescent="0.25">
      <c r="A739">
        <v>62</v>
      </c>
      <c r="B739" t="s">
        <v>235</v>
      </c>
      <c r="C739">
        <v>60</v>
      </c>
      <c r="D739" t="s">
        <v>18</v>
      </c>
      <c r="E739" t="s">
        <v>15</v>
      </c>
      <c r="F739">
        <v>71.231999999999999</v>
      </c>
      <c r="G739" t="s">
        <v>14</v>
      </c>
    </row>
    <row r="740" spans="1:7" x14ac:dyDescent="0.25">
      <c r="A740">
        <v>62</v>
      </c>
      <c r="B740" t="s">
        <v>235</v>
      </c>
      <c r="C740">
        <v>70</v>
      </c>
      <c r="D740" t="s">
        <v>113</v>
      </c>
      <c r="E740" t="s">
        <v>11</v>
      </c>
      <c r="F740">
        <v>4</v>
      </c>
      <c r="G740" t="s">
        <v>14</v>
      </c>
    </row>
    <row r="741" spans="1:7" x14ac:dyDescent="0.25">
      <c r="A741">
        <v>62</v>
      </c>
      <c r="B741" t="s">
        <v>235</v>
      </c>
      <c r="C741">
        <v>80</v>
      </c>
      <c r="D741" t="s">
        <v>21</v>
      </c>
      <c r="E741" t="s">
        <v>11</v>
      </c>
      <c r="F741">
        <v>1</v>
      </c>
      <c r="G741" t="s">
        <v>14</v>
      </c>
    </row>
    <row r="742" spans="1:7" x14ac:dyDescent="0.25">
      <c r="A742">
        <v>62</v>
      </c>
      <c r="B742" t="s">
        <v>235</v>
      </c>
      <c r="C742">
        <v>90</v>
      </c>
      <c r="D742" t="s">
        <v>22</v>
      </c>
      <c r="E742" t="s">
        <v>11</v>
      </c>
      <c r="F742">
        <v>1</v>
      </c>
      <c r="G742" t="s">
        <v>14</v>
      </c>
    </row>
    <row r="743" spans="1:7" x14ac:dyDescent="0.25">
      <c r="A743">
        <v>62</v>
      </c>
      <c r="B743" t="s">
        <v>235</v>
      </c>
      <c r="C743">
        <v>100</v>
      </c>
      <c r="D743" t="s">
        <v>23</v>
      </c>
      <c r="E743" t="s">
        <v>11</v>
      </c>
      <c r="F743">
        <v>1</v>
      </c>
      <c r="G743" t="s">
        <v>14</v>
      </c>
    </row>
    <row r="744" spans="1:7" x14ac:dyDescent="0.25">
      <c r="A744">
        <v>62</v>
      </c>
      <c r="B744" t="s">
        <v>235</v>
      </c>
      <c r="C744">
        <v>110</v>
      </c>
      <c r="D744" t="s">
        <v>111</v>
      </c>
      <c r="E744" t="s">
        <v>13</v>
      </c>
      <c r="F744">
        <v>1.216</v>
      </c>
      <c r="G744" t="s">
        <v>14</v>
      </c>
    </row>
    <row r="745" spans="1:7" x14ac:dyDescent="0.25">
      <c r="A745">
        <v>62</v>
      </c>
      <c r="B745" t="s">
        <v>235</v>
      </c>
      <c r="C745">
        <v>120</v>
      </c>
      <c r="D745" t="s">
        <v>236</v>
      </c>
      <c r="E745" t="s">
        <v>11</v>
      </c>
      <c r="F745">
        <v>1</v>
      </c>
      <c r="G745" t="s">
        <v>16</v>
      </c>
    </row>
    <row r="746" spans="1:7" x14ac:dyDescent="0.25">
      <c r="A746">
        <v>63</v>
      </c>
      <c r="B746" t="s">
        <v>237</v>
      </c>
      <c r="C746">
        <v>10</v>
      </c>
      <c r="D746" t="s">
        <v>325</v>
      </c>
      <c r="E746" t="s">
        <v>11</v>
      </c>
      <c r="F746">
        <v>1</v>
      </c>
      <c r="G746" t="s">
        <v>16</v>
      </c>
    </row>
    <row r="747" spans="1:7" x14ac:dyDescent="0.25">
      <c r="A747">
        <v>63</v>
      </c>
      <c r="B747" t="s">
        <v>237</v>
      </c>
      <c r="C747">
        <v>20</v>
      </c>
      <c r="D747" t="s">
        <v>109</v>
      </c>
      <c r="E747" t="s">
        <v>15</v>
      </c>
      <c r="F747">
        <v>2.0569999999999999</v>
      </c>
      <c r="G747" t="s">
        <v>16</v>
      </c>
    </row>
    <row r="748" spans="1:7" x14ac:dyDescent="0.25">
      <c r="A748">
        <v>63</v>
      </c>
      <c r="B748" t="s">
        <v>237</v>
      </c>
      <c r="C748">
        <v>30</v>
      </c>
      <c r="D748" t="s">
        <v>110</v>
      </c>
      <c r="E748" t="s">
        <v>15</v>
      </c>
      <c r="F748">
        <v>2.0569999999999999</v>
      </c>
      <c r="G748" t="s">
        <v>16</v>
      </c>
    </row>
    <row r="749" spans="1:7" x14ac:dyDescent="0.25">
      <c r="A749">
        <v>63</v>
      </c>
      <c r="B749" t="s">
        <v>237</v>
      </c>
      <c r="C749">
        <v>40</v>
      </c>
      <c r="D749" t="s">
        <v>105</v>
      </c>
      <c r="E749" t="s">
        <v>106</v>
      </c>
      <c r="F749">
        <v>0.28000000000000003</v>
      </c>
      <c r="G749" t="s">
        <v>14</v>
      </c>
    </row>
    <row r="750" spans="1:7" x14ac:dyDescent="0.25">
      <c r="A750">
        <v>63</v>
      </c>
      <c r="B750" t="s">
        <v>237</v>
      </c>
      <c r="C750">
        <v>50</v>
      </c>
      <c r="D750" t="s">
        <v>107</v>
      </c>
      <c r="E750" t="s">
        <v>15</v>
      </c>
      <c r="F750">
        <v>12.192</v>
      </c>
      <c r="G750" t="s">
        <v>14</v>
      </c>
    </row>
    <row r="751" spans="1:7" x14ac:dyDescent="0.25">
      <c r="A751">
        <v>63</v>
      </c>
      <c r="B751" t="s">
        <v>237</v>
      </c>
      <c r="C751">
        <v>60</v>
      </c>
      <c r="D751" t="s">
        <v>18</v>
      </c>
      <c r="E751" t="s">
        <v>15</v>
      </c>
      <c r="F751">
        <v>74.980999999999995</v>
      </c>
      <c r="G751" t="s">
        <v>14</v>
      </c>
    </row>
    <row r="752" spans="1:7" x14ac:dyDescent="0.25">
      <c r="A752">
        <v>63</v>
      </c>
      <c r="B752" t="s">
        <v>237</v>
      </c>
      <c r="C752">
        <v>70</v>
      </c>
      <c r="D752" t="s">
        <v>113</v>
      </c>
      <c r="E752" t="s">
        <v>11</v>
      </c>
      <c r="F752">
        <v>4</v>
      </c>
      <c r="G752" t="s">
        <v>14</v>
      </c>
    </row>
    <row r="753" spans="1:7" x14ac:dyDescent="0.25">
      <c r="A753">
        <v>63</v>
      </c>
      <c r="B753" t="s">
        <v>237</v>
      </c>
      <c r="C753">
        <v>80</v>
      </c>
      <c r="D753" t="s">
        <v>21</v>
      </c>
      <c r="E753" t="s">
        <v>11</v>
      </c>
      <c r="F753">
        <v>1</v>
      </c>
      <c r="G753" t="s">
        <v>14</v>
      </c>
    </row>
    <row r="754" spans="1:7" x14ac:dyDescent="0.25">
      <c r="A754">
        <v>63</v>
      </c>
      <c r="B754" t="s">
        <v>237</v>
      </c>
      <c r="C754">
        <v>90</v>
      </c>
      <c r="D754" t="s">
        <v>22</v>
      </c>
      <c r="E754" t="s">
        <v>11</v>
      </c>
      <c r="F754">
        <v>1</v>
      </c>
      <c r="G754" t="s">
        <v>14</v>
      </c>
    </row>
    <row r="755" spans="1:7" x14ac:dyDescent="0.25">
      <c r="A755">
        <v>63</v>
      </c>
      <c r="B755" t="s">
        <v>237</v>
      </c>
      <c r="C755">
        <v>100</v>
      </c>
      <c r="D755" t="s">
        <v>23</v>
      </c>
      <c r="E755" t="s">
        <v>11</v>
      </c>
      <c r="F755">
        <v>1</v>
      </c>
      <c r="G755" t="s">
        <v>14</v>
      </c>
    </row>
    <row r="756" spans="1:7" x14ac:dyDescent="0.25">
      <c r="A756">
        <v>63</v>
      </c>
      <c r="B756" t="s">
        <v>237</v>
      </c>
      <c r="C756">
        <v>110</v>
      </c>
      <c r="D756" t="s">
        <v>111</v>
      </c>
      <c r="E756" t="s">
        <v>13</v>
      </c>
      <c r="F756">
        <v>1.216</v>
      </c>
      <c r="G756" t="s">
        <v>14</v>
      </c>
    </row>
    <row r="757" spans="1:7" x14ac:dyDescent="0.25">
      <c r="A757">
        <v>63</v>
      </c>
      <c r="B757" t="s">
        <v>237</v>
      </c>
      <c r="C757">
        <v>120</v>
      </c>
      <c r="D757" t="s">
        <v>238</v>
      </c>
      <c r="E757" t="s">
        <v>11</v>
      </c>
      <c r="F757">
        <v>1</v>
      </c>
      <c r="G757" t="s">
        <v>16</v>
      </c>
    </row>
    <row r="758" spans="1:7" x14ac:dyDescent="0.25">
      <c r="A758">
        <v>64</v>
      </c>
      <c r="B758" t="s">
        <v>239</v>
      </c>
      <c r="C758">
        <v>10</v>
      </c>
      <c r="D758" t="s">
        <v>326</v>
      </c>
      <c r="E758" t="s">
        <v>11</v>
      </c>
      <c r="F758">
        <v>1</v>
      </c>
      <c r="G758" t="s">
        <v>16</v>
      </c>
    </row>
    <row r="759" spans="1:7" x14ac:dyDescent="0.25">
      <c r="A759">
        <v>64</v>
      </c>
      <c r="B759" t="s">
        <v>239</v>
      </c>
      <c r="C759">
        <v>20</v>
      </c>
      <c r="D759" t="s">
        <v>109</v>
      </c>
      <c r="E759" t="s">
        <v>15</v>
      </c>
      <c r="F759">
        <v>2.0569999999999999</v>
      </c>
      <c r="G759" t="s">
        <v>16</v>
      </c>
    </row>
    <row r="760" spans="1:7" x14ac:dyDescent="0.25">
      <c r="A760">
        <v>64</v>
      </c>
      <c r="B760" t="s">
        <v>239</v>
      </c>
      <c r="C760">
        <v>30</v>
      </c>
      <c r="D760" t="s">
        <v>110</v>
      </c>
      <c r="E760" t="s">
        <v>15</v>
      </c>
      <c r="F760">
        <v>2.0569999999999999</v>
      </c>
      <c r="G760" t="s">
        <v>16</v>
      </c>
    </row>
    <row r="761" spans="1:7" x14ac:dyDescent="0.25">
      <c r="A761">
        <v>64</v>
      </c>
      <c r="B761" t="s">
        <v>239</v>
      </c>
      <c r="C761">
        <v>40</v>
      </c>
      <c r="D761" t="s">
        <v>105</v>
      </c>
      <c r="E761" t="s">
        <v>106</v>
      </c>
      <c r="F761">
        <v>0.32800000000000001</v>
      </c>
      <c r="G761" t="s">
        <v>14</v>
      </c>
    </row>
    <row r="762" spans="1:7" x14ac:dyDescent="0.25">
      <c r="A762">
        <v>64</v>
      </c>
      <c r="B762" t="s">
        <v>239</v>
      </c>
      <c r="C762">
        <v>50</v>
      </c>
      <c r="D762" t="s">
        <v>107</v>
      </c>
      <c r="E762" t="s">
        <v>15</v>
      </c>
      <c r="F762">
        <v>12.802</v>
      </c>
      <c r="G762" t="s">
        <v>14</v>
      </c>
    </row>
    <row r="763" spans="1:7" x14ac:dyDescent="0.25">
      <c r="A763">
        <v>64</v>
      </c>
      <c r="B763" t="s">
        <v>239</v>
      </c>
      <c r="C763">
        <v>60</v>
      </c>
      <c r="D763" t="s">
        <v>18</v>
      </c>
      <c r="E763" t="s">
        <v>15</v>
      </c>
      <c r="F763">
        <v>78.73</v>
      </c>
      <c r="G763" t="s">
        <v>14</v>
      </c>
    </row>
    <row r="764" spans="1:7" x14ac:dyDescent="0.25">
      <c r="A764">
        <v>64</v>
      </c>
      <c r="B764" t="s">
        <v>239</v>
      </c>
      <c r="C764">
        <v>70</v>
      </c>
      <c r="D764" t="s">
        <v>113</v>
      </c>
      <c r="E764" t="s">
        <v>11</v>
      </c>
      <c r="F764">
        <v>4</v>
      </c>
      <c r="G764" t="s">
        <v>14</v>
      </c>
    </row>
    <row r="765" spans="1:7" x14ac:dyDescent="0.25">
      <c r="A765">
        <v>64</v>
      </c>
      <c r="B765" t="s">
        <v>239</v>
      </c>
      <c r="C765">
        <v>80</v>
      </c>
      <c r="D765" t="s">
        <v>21</v>
      </c>
      <c r="E765" t="s">
        <v>11</v>
      </c>
      <c r="F765">
        <v>1</v>
      </c>
      <c r="G765" t="s">
        <v>14</v>
      </c>
    </row>
    <row r="766" spans="1:7" x14ac:dyDescent="0.25">
      <c r="A766">
        <v>64</v>
      </c>
      <c r="B766" t="s">
        <v>239</v>
      </c>
      <c r="C766">
        <v>90</v>
      </c>
      <c r="D766" t="s">
        <v>22</v>
      </c>
      <c r="E766" t="s">
        <v>11</v>
      </c>
      <c r="F766">
        <v>1</v>
      </c>
      <c r="G766" t="s">
        <v>14</v>
      </c>
    </row>
    <row r="767" spans="1:7" x14ac:dyDescent="0.25">
      <c r="A767">
        <v>64</v>
      </c>
      <c r="B767" t="s">
        <v>239</v>
      </c>
      <c r="C767">
        <v>100</v>
      </c>
      <c r="D767" t="s">
        <v>23</v>
      </c>
      <c r="E767" t="s">
        <v>11</v>
      </c>
      <c r="F767">
        <v>1</v>
      </c>
      <c r="G767" t="s">
        <v>14</v>
      </c>
    </row>
    <row r="768" spans="1:7" x14ac:dyDescent="0.25">
      <c r="A768">
        <v>64</v>
      </c>
      <c r="B768" t="s">
        <v>239</v>
      </c>
      <c r="C768">
        <v>110</v>
      </c>
      <c r="D768" t="s">
        <v>111</v>
      </c>
      <c r="E768" t="s">
        <v>13</v>
      </c>
      <c r="F768">
        <v>1.216</v>
      </c>
      <c r="G768" t="s">
        <v>14</v>
      </c>
    </row>
    <row r="769" spans="1:7" x14ac:dyDescent="0.25">
      <c r="A769">
        <v>64</v>
      </c>
      <c r="B769" t="s">
        <v>239</v>
      </c>
      <c r="C769">
        <v>120</v>
      </c>
      <c r="D769" t="s">
        <v>240</v>
      </c>
      <c r="E769" t="s">
        <v>11</v>
      </c>
      <c r="F769">
        <v>1</v>
      </c>
      <c r="G769" t="s">
        <v>16</v>
      </c>
    </row>
    <row r="770" spans="1:7" x14ac:dyDescent="0.25">
      <c r="A770">
        <v>65</v>
      </c>
      <c r="B770" t="s">
        <v>241</v>
      </c>
      <c r="C770">
        <v>10</v>
      </c>
      <c r="D770" t="s">
        <v>327</v>
      </c>
      <c r="E770" t="s">
        <v>11</v>
      </c>
      <c r="F770">
        <v>1</v>
      </c>
      <c r="G770" t="s">
        <v>16</v>
      </c>
    </row>
    <row r="771" spans="1:7" x14ac:dyDescent="0.25">
      <c r="A771">
        <v>65</v>
      </c>
      <c r="B771" t="s">
        <v>241</v>
      </c>
      <c r="C771">
        <v>20</v>
      </c>
      <c r="D771" t="s">
        <v>109</v>
      </c>
      <c r="E771" t="s">
        <v>15</v>
      </c>
      <c r="F771">
        <v>2.0569999999999999</v>
      </c>
      <c r="G771" t="s">
        <v>16</v>
      </c>
    </row>
    <row r="772" spans="1:7" x14ac:dyDescent="0.25">
      <c r="A772">
        <v>65</v>
      </c>
      <c r="B772" t="s">
        <v>241</v>
      </c>
      <c r="C772">
        <v>30</v>
      </c>
      <c r="D772" t="s">
        <v>110</v>
      </c>
      <c r="E772" t="s">
        <v>15</v>
      </c>
      <c r="F772">
        <v>2.0569999999999999</v>
      </c>
      <c r="G772" t="s">
        <v>16</v>
      </c>
    </row>
    <row r="773" spans="1:7" x14ac:dyDescent="0.25">
      <c r="A773">
        <v>65</v>
      </c>
      <c r="B773" t="s">
        <v>241</v>
      </c>
      <c r="C773">
        <v>40</v>
      </c>
      <c r="D773" t="s">
        <v>105</v>
      </c>
      <c r="E773" t="s">
        <v>106</v>
      </c>
      <c r="F773">
        <v>0.376</v>
      </c>
      <c r="G773" t="s">
        <v>14</v>
      </c>
    </row>
    <row r="774" spans="1:7" x14ac:dyDescent="0.25">
      <c r="A774">
        <v>65</v>
      </c>
      <c r="B774" t="s">
        <v>241</v>
      </c>
      <c r="C774">
        <v>50</v>
      </c>
      <c r="D774" t="s">
        <v>107</v>
      </c>
      <c r="E774" t="s">
        <v>15</v>
      </c>
      <c r="F774">
        <v>13.411</v>
      </c>
      <c r="G774" t="s">
        <v>14</v>
      </c>
    </row>
    <row r="775" spans="1:7" x14ac:dyDescent="0.25">
      <c r="A775">
        <v>65</v>
      </c>
      <c r="B775" t="s">
        <v>241</v>
      </c>
      <c r="C775">
        <v>60</v>
      </c>
      <c r="D775" t="s">
        <v>18</v>
      </c>
      <c r="E775" t="s">
        <v>15</v>
      </c>
      <c r="F775">
        <v>82.478999999999999</v>
      </c>
      <c r="G775" t="s">
        <v>14</v>
      </c>
    </row>
    <row r="776" spans="1:7" x14ac:dyDescent="0.25">
      <c r="A776">
        <v>65</v>
      </c>
      <c r="B776" t="s">
        <v>241</v>
      </c>
      <c r="C776">
        <v>70</v>
      </c>
      <c r="D776" t="s">
        <v>113</v>
      </c>
      <c r="E776" t="s">
        <v>11</v>
      </c>
      <c r="F776">
        <v>4</v>
      </c>
      <c r="G776" t="s">
        <v>14</v>
      </c>
    </row>
    <row r="777" spans="1:7" x14ac:dyDescent="0.25">
      <c r="A777">
        <v>65</v>
      </c>
      <c r="B777" t="s">
        <v>241</v>
      </c>
      <c r="C777">
        <v>80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65</v>
      </c>
      <c r="B778" t="s">
        <v>241</v>
      </c>
      <c r="C778">
        <v>90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65</v>
      </c>
      <c r="B779" t="s">
        <v>241</v>
      </c>
      <c r="C779">
        <v>100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65</v>
      </c>
      <c r="B780" t="s">
        <v>241</v>
      </c>
      <c r="C780">
        <v>110</v>
      </c>
      <c r="D780" t="s">
        <v>111</v>
      </c>
      <c r="E780" t="s">
        <v>13</v>
      </c>
      <c r="F780">
        <v>1.216</v>
      </c>
      <c r="G780" t="s">
        <v>14</v>
      </c>
    </row>
    <row r="781" spans="1:7" x14ac:dyDescent="0.25">
      <c r="A781">
        <v>65</v>
      </c>
      <c r="B781" t="s">
        <v>241</v>
      </c>
      <c r="C781">
        <v>120</v>
      </c>
      <c r="D781" t="s">
        <v>242</v>
      </c>
      <c r="E781" t="s">
        <v>11</v>
      </c>
      <c r="F781">
        <v>1</v>
      </c>
      <c r="G781" t="s">
        <v>16</v>
      </c>
    </row>
    <row r="782" spans="1:7" x14ac:dyDescent="0.25">
      <c r="A782">
        <v>66</v>
      </c>
      <c r="B782" t="s">
        <v>243</v>
      </c>
      <c r="C782">
        <v>10</v>
      </c>
      <c r="D782" t="s">
        <v>328</v>
      </c>
      <c r="E782" t="s">
        <v>11</v>
      </c>
      <c r="F782">
        <v>1</v>
      </c>
      <c r="G782" t="s">
        <v>16</v>
      </c>
    </row>
    <row r="783" spans="1:7" x14ac:dyDescent="0.25">
      <c r="A783">
        <v>66</v>
      </c>
      <c r="B783" t="s">
        <v>243</v>
      </c>
      <c r="C783">
        <v>20</v>
      </c>
      <c r="D783" t="s">
        <v>109</v>
      </c>
      <c r="E783" t="s">
        <v>15</v>
      </c>
      <c r="F783">
        <v>2.0569999999999999</v>
      </c>
      <c r="G783" t="s">
        <v>16</v>
      </c>
    </row>
    <row r="784" spans="1:7" x14ac:dyDescent="0.25">
      <c r="A784">
        <v>66</v>
      </c>
      <c r="B784" t="s">
        <v>243</v>
      </c>
      <c r="C784">
        <v>30</v>
      </c>
      <c r="D784" t="s">
        <v>110</v>
      </c>
      <c r="E784" t="s">
        <v>15</v>
      </c>
      <c r="F784">
        <v>2.0569999999999999</v>
      </c>
      <c r="G784" t="s">
        <v>16</v>
      </c>
    </row>
    <row r="785" spans="1:7" x14ac:dyDescent="0.25">
      <c r="A785">
        <v>66</v>
      </c>
      <c r="B785" t="s">
        <v>243</v>
      </c>
      <c r="C785">
        <v>40</v>
      </c>
      <c r="D785" t="s">
        <v>105</v>
      </c>
      <c r="E785" t="s">
        <v>106</v>
      </c>
      <c r="F785">
        <v>0.47199999999999998</v>
      </c>
      <c r="G785" t="s">
        <v>14</v>
      </c>
    </row>
    <row r="786" spans="1:7" x14ac:dyDescent="0.25">
      <c r="A786">
        <v>66</v>
      </c>
      <c r="B786" t="s">
        <v>243</v>
      </c>
      <c r="C786">
        <v>50</v>
      </c>
      <c r="D786" t="s">
        <v>107</v>
      </c>
      <c r="E786" t="s">
        <v>15</v>
      </c>
      <c r="F786">
        <v>14.63</v>
      </c>
      <c r="G786" t="s">
        <v>14</v>
      </c>
    </row>
    <row r="787" spans="1:7" x14ac:dyDescent="0.25">
      <c r="A787">
        <v>66</v>
      </c>
      <c r="B787" t="s">
        <v>243</v>
      </c>
      <c r="C787">
        <v>60</v>
      </c>
      <c r="D787" t="s">
        <v>18</v>
      </c>
      <c r="E787" t="s">
        <v>15</v>
      </c>
      <c r="F787">
        <v>89.977000000000004</v>
      </c>
      <c r="G787" t="s">
        <v>14</v>
      </c>
    </row>
    <row r="788" spans="1:7" x14ac:dyDescent="0.25">
      <c r="A788">
        <v>66</v>
      </c>
      <c r="B788" t="s">
        <v>243</v>
      </c>
      <c r="C788">
        <v>70</v>
      </c>
      <c r="D788" t="s">
        <v>113</v>
      </c>
      <c r="E788" t="s">
        <v>11</v>
      </c>
      <c r="F788">
        <v>4</v>
      </c>
      <c r="G788" t="s">
        <v>14</v>
      </c>
    </row>
    <row r="789" spans="1:7" x14ac:dyDescent="0.25">
      <c r="A789">
        <v>66</v>
      </c>
      <c r="B789" t="s">
        <v>243</v>
      </c>
      <c r="C789">
        <v>80</v>
      </c>
      <c r="D789" t="s">
        <v>21</v>
      </c>
      <c r="E789" t="s">
        <v>11</v>
      </c>
      <c r="F789">
        <v>1</v>
      </c>
      <c r="G789" t="s">
        <v>14</v>
      </c>
    </row>
    <row r="790" spans="1:7" x14ac:dyDescent="0.25">
      <c r="A790">
        <v>66</v>
      </c>
      <c r="B790" t="s">
        <v>243</v>
      </c>
      <c r="C790">
        <v>90</v>
      </c>
      <c r="D790" t="s">
        <v>22</v>
      </c>
      <c r="E790" t="s">
        <v>11</v>
      </c>
      <c r="F790">
        <v>1</v>
      </c>
      <c r="G790" t="s">
        <v>14</v>
      </c>
    </row>
    <row r="791" spans="1:7" x14ac:dyDescent="0.25">
      <c r="A791">
        <v>66</v>
      </c>
      <c r="B791" t="s">
        <v>243</v>
      </c>
      <c r="C791">
        <v>100</v>
      </c>
      <c r="D791" t="s">
        <v>23</v>
      </c>
      <c r="E791" t="s">
        <v>11</v>
      </c>
      <c r="F791">
        <v>1</v>
      </c>
      <c r="G791" t="s">
        <v>14</v>
      </c>
    </row>
    <row r="792" spans="1:7" x14ac:dyDescent="0.25">
      <c r="A792">
        <v>66</v>
      </c>
      <c r="B792" t="s">
        <v>243</v>
      </c>
      <c r="C792">
        <v>110</v>
      </c>
      <c r="D792" t="s">
        <v>111</v>
      </c>
      <c r="E792" t="s">
        <v>13</v>
      </c>
      <c r="F792">
        <v>1.216</v>
      </c>
      <c r="G792" t="s">
        <v>14</v>
      </c>
    </row>
    <row r="793" spans="1:7" x14ac:dyDescent="0.25">
      <c r="A793">
        <v>66</v>
      </c>
      <c r="B793" t="s">
        <v>243</v>
      </c>
      <c r="C793">
        <v>120</v>
      </c>
      <c r="D793" t="s">
        <v>244</v>
      </c>
      <c r="E793" t="s">
        <v>11</v>
      </c>
      <c r="F793">
        <v>1</v>
      </c>
      <c r="G793" t="s">
        <v>16</v>
      </c>
    </row>
    <row r="794" spans="1:7" x14ac:dyDescent="0.25">
      <c r="A794">
        <v>67</v>
      </c>
      <c r="B794" t="s">
        <v>245</v>
      </c>
      <c r="C794">
        <v>10</v>
      </c>
      <c r="D794" t="s">
        <v>329</v>
      </c>
      <c r="E794" t="s">
        <v>11</v>
      </c>
      <c r="F794">
        <v>1</v>
      </c>
      <c r="G794" t="s">
        <v>16</v>
      </c>
    </row>
    <row r="795" spans="1:7" x14ac:dyDescent="0.25">
      <c r="A795">
        <v>67</v>
      </c>
      <c r="B795" t="s">
        <v>245</v>
      </c>
      <c r="C795">
        <v>20</v>
      </c>
      <c r="D795" t="s">
        <v>109</v>
      </c>
      <c r="E795" t="s">
        <v>15</v>
      </c>
      <c r="F795">
        <v>2.0569999999999999</v>
      </c>
      <c r="G795" t="s">
        <v>16</v>
      </c>
    </row>
    <row r="796" spans="1:7" x14ac:dyDescent="0.25">
      <c r="A796">
        <v>67</v>
      </c>
      <c r="B796" t="s">
        <v>245</v>
      </c>
      <c r="C796">
        <v>30</v>
      </c>
      <c r="D796" t="s">
        <v>110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67</v>
      </c>
      <c r="B797" t="s">
        <v>245</v>
      </c>
      <c r="C797">
        <v>40</v>
      </c>
      <c r="D797" t="s">
        <v>105</v>
      </c>
      <c r="E797" t="s">
        <v>106</v>
      </c>
      <c r="F797">
        <v>0.52</v>
      </c>
      <c r="G797" t="s">
        <v>14</v>
      </c>
    </row>
    <row r="798" spans="1:7" x14ac:dyDescent="0.25">
      <c r="A798">
        <v>67</v>
      </c>
      <c r="B798" t="s">
        <v>245</v>
      </c>
      <c r="C798">
        <v>50</v>
      </c>
      <c r="D798" t="s">
        <v>107</v>
      </c>
      <c r="E798" t="s">
        <v>15</v>
      </c>
      <c r="F798">
        <v>15.24</v>
      </c>
      <c r="G798" t="s">
        <v>14</v>
      </c>
    </row>
    <row r="799" spans="1:7" x14ac:dyDescent="0.25">
      <c r="A799">
        <v>67</v>
      </c>
      <c r="B799" t="s">
        <v>245</v>
      </c>
      <c r="C799">
        <v>60</v>
      </c>
      <c r="D799" t="s">
        <v>18</v>
      </c>
      <c r="E799" t="s">
        <v>15</v>
      </c>
      <c r="F799">
        <v>93.725999999999999</v>
      </c>
      <c r="G799" t="s">
        <v>14</v>
      </c>
    </row>
    <row r="800" spans="1:7" x14ac:dyDescent="0.25">
      <c r="A800">
        <v>67</v>
      </c>
      <c r="B800" t="s">
        <v>245</v>
      </c>
      <c r="C800">
        <v>70</v>
      </c>
      <c r="D800" t="s">
        <v>113</v>
      </c>
      <c r="E800" t="s">
        <v>11</v>
      </c>
      <c r="F800">
        <v>4</v>
      </c>
      <c r="G800" t="s">
        <v>14</v>
      </c>
    </row>
    <row r="801" spans="1:7" x14ac:dyDescent="0.25">
      <c r="A801">
        <v>67</v>
      </c>
      <c r="B801" t="s">
        <v>245</v>
      </c>
      <c r="C801">
        <v>80</v>
      </c>
      <c r="D801" t="s">
        <v>21</v>
      </c>
      <c r="E801" t="s">
        <v>11</v>
      </c>
      <c r="F801">
        <v>1</v>
      </c>
      <c r="G801" t="s">
        <v>14</v>
      </c>
    </row>
    <row r="802" spans="1:7" x14ac:dyDescent="0.25">
      <c r="A802">
        <v>67</v>
      </c>
      <c r="B802" t="s">
        <v>245</v>
      </c>
      <c r="C802">
        <v>90</v>
      </c>
      <c r="D802" t="s">
        <v>22</v>
      </c>
      <c r="E802" t="s">
        <v>11</v>
      </c>
      <c r="F802">
        <v>1</v>
      </c>
      <c r="G802" t="s">
        <v>14</v>
      </c>
    </row>
    <row r="803" spans="1:7" x14ac:dyDescent="0.25">
      <c r="A803">
        <v>67</v>
      </c>
      <c r="B803" t="s">
        <v>245</v>
      </c>
      <c r="C803">
        <v>100</v>
      </c>
      <c r="D803" t="s">
        <v>23</v>
      </c>
      <c r="E803" t="s">
        <v>11</v>
      </c>
      <c r="F803">
        <v>1</v>
      </c>
      <c r="G803" t="s">
        <v>14</v>
      </c>
    </row>
    <row r="804" spans="1:7" x14ac:dyDescent="0.25">
      <c r="A804">
        <v>67</v>
      </c>
      <c r="B804" t="s">
        <v>245</v>
      </c>
      <c r="C804">
        <v>110</v>
      </c>
      <c r="D804" t="s">
        <v>111</v>
      </c>
      <c r="E804" t="s">
        <v>13</v>
      </c>
      <c r="F804">
        <v>1.216</v>
      </c>
      <c r="G804" t="s">
        <v>14</v>
      </c>
    </row>
    <row r="805" spans="1:7" x14ac:dyDescent="0.25">
      <c r="A805">
        <v>67</v>
      </c>
      <c r="B805" t="s">
        <v>245</v>
      </c>
      <c r="C805">
        <v>120</v>
      </c>
      <c r="D805" t="s">
        <v>246</v>
      </c>
      <c r="E805" t="s">
        <v>11</v>
      </c>
      <c r="F805">
        <v>1</v>
      </c>
      <c r="G805" t="s">
        <v>16</v>
      </c>
    </row>
    <row r="806" spans="1:7" x14ac:dyDescent="0.25">
      <c r="A806">
        <v>68</v>
      </c>
      <c r="B806" t="s">
        <v>247</v>
      </c>
      <c r="C806">
        <v>10</v>
      </c>
      <c r="D806" t="s">
        <v>330</v>
      </c>
      <c r="E806" t="s">
        <v>11</v>
      </c>
      <c r="F806">
        <v>1</v>
      </c>
      <c r="G806" t="s">
        <v>16</v>
      </c>
    </row>
    <row r="807" spans="1:7" x14ac:dyDescent="0.25">
      <c r="A807">
        <v>68</v>
      </c>
      <c r="B807" t="s">
        <v>247</v>
      </c>
      <c r="C807">
        <v>20</v>
      </c>
      <c r="D807" t="s">
        <v>109</v>
      </c>
      <c r="E807" t="s">
        <v>15</v>
      </c>
      <c r="F807">
        <v>2.0569999999999999</v>
      </c>
      <c r="G807" t="s">
        <v>16</v>
      </c>
    </row>
    <row r="808" spans="1:7" x14ac:dyDescent="0.25">
      <c r="A808">
        <v>68</v>
      </c>
      <c r="B808" t="s">
        <v>247</v>
      </c>
      <c r="C808">
        <v>30</v>
      </c>
      <c r="D808" t="s">
        <v>110</v>
      </c>
      <c r="E808" t="s">
        <v>15</v>
      </c>
      <c r="F808">
        <v>2.0569999999999999</v>
      </c>
      <c r="G808" t="s">
        <v>16</v>
      </c>
    </row>
    <row r="809" spans="1:7" x14ac:dyDescent="0.25">
      <c r="A809">
        <v>68</v>
      </c>
      <c r="B809" t="s">
        <v>247</v>
      </c>
      <c r="C809">
        <v>40</v>
      </c>
      <c r="D809" t="s">
        <v>105</v>
      </c>
      <c r="E809" t="s">
        <v>106</v>
      </c>
      <c r="F809">
        <v>0.56799999999999995</v>
      </c>
      <c r="G809" t="s">
        <v>14</v>
      </c>
    </row>
    <row r="810" spans="1:7" x14ac:dyDescent="0.25">
      <c r="A810">
        <v>68</v>
      </c>
      <c r="B810" t="s">
        <v>247</v>
      </c>
      <c r="C810">
        <v>50</v>
      </c>
      <c r="D810" t="s">
        <v>107</v>
      </c>
      <c r="E810" t="s">
        <v>15</v>
      </c>
      <c r="F810">
        <v>15.85</v>
      </c>
      <c r="G810" t="s">
        <v>14</v>
      </c>
    </row>
    <row r="811" spans="1:7" x14ac:dyDescent="0.25">
      <c r="A811">
        <v>68</v>
      </c>
      <c r="B811" t="s">
        <v>247</v>
      </c>
      <c r="C811">
        <v>60</v>
      </c>
      <c r="D811" t="s">
        <v>18</v>
      </c>
      <c r="E811" t="s">
        <v>15</v>
      </c>
      <c r="F811">
        <v>97.474999999999994</v>
      </c>
      <c r="G811" t="s">
        <v>14</v>
      </c>
    </row>
    <row r="812" spans="1:7" x14ac:dyDescent="0.25">
      <c r="A812">
        <v>68</v>
      </c>
      <c r="B812" t="s">
        <v>247</v>
      </c>
      <c r="C812">
        <v>70</v>
      </c>
      <c r="D812" t="s">
        <v>113</v>
      </c>
      <c r="E812" t="s">
        <v>11</v>
      </c>
      <c r="F812">
        <v>4</v>
      </c>
      <c r="G812" t="s">
        <v>14</v>
      </c>
    </row>
    <row r="813" spans="1:7" x14ac:dyDescent="0.25">
      <c r="A813">
        <v>68</v>
      </c>
      <c r="B813" t="s">
        <v>247</v>
      </c>
      <c r="C813">
        <v>80</v>
      </c>
      <c r="D813" t="s">
        <v>21</v>
      </c>
      <c r="E813" t="s">
        <v>11</v>
      </c>
      <c r="F813">
        <v>1</v>
      </c>
      <c r="G813" t="s">
        <v>14</v>
      </c>
    </row>
    <row r="814" spans="1:7" x14ac:dyDescent="0.25">
      <c r="A814">
        <v>68</v>
      </c>
      <c r="B814" t="s">
        <v>247</v>
      </c>
      <c r="C814">
        <v>90</v>
      </c>
      <c r="D814" t="s">
        <v>22</v>
      </c>
      <c r="E814" t="s">
        <v>11</v>
      </c>
      <c r="F814">
        <v>1</v>
      </c>
      <c r="G814" t="s">
        <v>14</v>
      </c>
    </row>
    <row r="815" spans="1:7" x14ac:dyDescent="0.25">
      <c r="A815">
        <v>68</v>
      </c>
      <c r="B815" t="s">
        <v>247</v>
      </c>
      <c r="C815">
        <v>100</v>
      </c>
      <c r="D815" t="s">
        <v>23</v>
      </c>
      <c r="E815" t="s">
        <v>11</v>
      </c>
      <c r="F815">
        <v>1</v>
      </c>
      <c r="G815" t="s">
        <v>14</v>
      </c>
    </row>
    <row r="816" spans="1:7" x14ac:dyDescent="0.25">
      <c r="A816">
        <v>68</v>
      </c>
      <c r="B816" t="s">
        <v>247</v>
      </c>
      <c r="C816">
        <v>110</v>
      </c>
      <c r="D816" t="s">
        <v>111</v>
      </c>
      <c r="E816" t="s">
        <v>13</v>
      </c>
      <c r="F816">
        <v>1.216</v>
      </c>
      <c r="G816" t="s">
        <v>14</v>
      </c>
    </row>
    <row r="817" spans="1:7" x14ac:dyDescent="0.25">
      <c r="A817">
        <v>68</v>
      </c>
      <c r="B817" t="s">
        <v>247</v>
      </c>
      <c r="C817">
        <v>120</v>
      </c>
      <c r="D817" t="s">
        <v>248</v>
      </c>
      <c r="E817" t="s">
        <v>11</v>
      </c>
      <c r="F817">
        <v>1</v>
      </c>
      <c r="G817" t="s">
        <v>16</v>
      </c>
    </row>
    <row r="818" spans="1:7" x14ac:dyDescent="0.25">
      <c r="A818">
        <v>69</v>
      </c>
      <c r="B818" t="s">
        <v>249</v>
      </c>
      <c r="C818">
        <v>10</v>
      </c>
      <c r="D818" t="s">
        <v>331</v>
      </c>
      <c r="E818" t="s">
        <v>11</v>
      </c>
      <c r="F818">
        <v>1</v>
      </c>
      <c r="G818" t="s">
        <v>16</v>
      </c>
    </row>
    <row r="819" spans="1:7" x14ac:dyDescent="0.25">
      <c r="A819">
        <v>69</v>
      </c>
      <c r="B819" t="s">
        <v>249</v>
      </c>
      <c r="C819">
        <v>20</v>
      </c>
      <c r="D819" t="s">
        <v>109</v>
      </c>
      <c r="E819" t="s">
        <v>15</v>
      </c>
      <c r="F819">
        <v>2.1589999999999998</v>
      </c>
      <c r="G819" t="s">
        <v>16</v>
      </c>
    </row>
    <row r="820" spans="1:7" x14ac:dyDescent="0.25">
      <c r="A820">
        <v>69</v>
      </c>
      <c r="B820" t="s">
        <v>249</v>
      </c>
      <c r="C820">
        <v>30</v>
      </c>
      <c r="D820" t="s">
        <v>110</v>
      </c>
      <c r="E820" t="s">
        <v>15</v>
      </c>
      <c r="F820">
        <v>2.1589999999999998</v>
      </c>
      <c r="G820" t="s">
        <v>16</v>
      </c>
    </row>
    <row r="821" spans="1:7" x14ac:dyDescent="0.25">
      <c r="A821">
        <v>69</v>
      </c>
      <c r="B821" t="s">
        <v>249</v>
      </c>
      <c r="C821">
        <v>40</v>
      </c>
      <c r="D821" t="s">
        <v>105</v>
      </c>
      <c r="E821" t="s">
        <v>106</v>
      </c>
      <c r="F821">
        <v>0.24399999999999999</v>
      </c>
      <c r="G821" t="s">
        <v>14</v>
      </c>
    </row>
    <row r="822" spans="1:7" x14ac:dyDescent="0.25">
      <c r="A822">
        <v>69</v>
      </c>
      <c r="B822" t="s">
        <v>249</v>
      </c>
      <c r="C822">
        <v>50</v>
      </c>
      <c r="D822" t="s">
        <v>107</v>
      </c>
      <c r="E822" t="s">
        <v>15</v>
      </c>
      <c r="F822">
        <v>11.989000000000001</v>
      </c>
      <c r="G822" t="s">
        <v>14</v>
      </c>
    </row>
    <row r="823" spans="1:7" x14ac:dyDescent="0.25">
      <c r="A823">
        <v>69</v>
      </c>
      <c r="B823" t="s">
        <v>249</v>
      </c>
      <c r="C823">
        <v>60</v>
      </c>
      <c r="D823" t="s">
        <v>18</v>
      </c>
      <c r="E823" t="s">
        <v>15</v>
      </c>
      <c r="F823">
        <v>73.730999999999995</v>
      </c>
      <c r="G823" t="s">
        <v>14</v>
      </c>
    </row>
    <row r="824" spans="1:7" x14ac:dyDescent="0.25">
      <c r="A824">
        <v>69</v>
      </c>
      <c r="B824" t="s">
        <v>249</v>
      </c>
      <c r="C824">
        <v>70</v>
      </c>
      <c r="D824" t="s">
        <v>113</v>
      </c>
      <c r="E824" t="s">
        <v>11</v>
      </c>
      <c r="F824">
        <v>4</v>
      </c>
      <c r="G824" t="s">
        <v>14</v>
      </c>
    </row>
    <row r="825" spans="1:7" x14ac:dyDescent="0.25">
      <c r="A825">
        <v>69</v>
      </c>
      <c r="B825" t="s">
        <v>249</v>
      </c>
      <c r="C825">
        <v>80</v>
      </c>
      <c r="D825" t="s">
        <v>21</v>
      </c>
      <c r="E825" t="s">
        <v>11</v>
      </c>
      <c r="F825">
        <v>1</v>
      </c>
      <c r="G825" t="s">
        <v>14</v>
      </c>
    </row>
    <row r="826" spans="1:7" x14ac:dyDescent="0.25">
      <c r="A826">
        <v>69</v>
      </c>
      <c r="B826" t="s">
        <v>249</v>
      </c>
      <c r="C826">
        <v>90</v>
      </c>
      <c r="D826" t="s">
        <v>22</v>
      </c>
      <c r="E826" t="s">
        <v>11</v>
      </c>
      <c r="F826">
        <v>1</v>
      </c>
      <c r="G826" t="s">
        <v>14</v>
      </c>
    </row>
    <row r="827" spans="1:7" x14ac:dyDescent="0.25">
      <c r="A827">
        <v>69</v>
      </c>
      <c r="B827" t="s">
        <v>249</v>
      </c>
      <c r="C827">
        <v>100</v>
      </c>
      <c r="D827" t="s">
        <v>23</v>
      </c>
      <c r="E827" t="s">
        <v>11</v>
      </c>
      <c r="F827">
        <v>1</v>
      </c>
      <c r="G827" t="s">
        <v>14</v>
      </c>
    </row>
    <row r="828" spans="1:7" x14ac:dyDescent="0.25">
      <c r="A828">
        <v>69</v>
      </c>
      <c r="B828" t="s">
        <v>249</v>
      </c>
      <c r="C828">
        <v>110</v>
      </c>
      <c r="D828" t="s">
        <v>111</v>
      </c>
      <c r="E828" t="s">
        <v>13</v>
      </c>
      <c r="F828">
        <v>1.27</v>
      </c>
      <c r="G828" t="s">
        <v>14</v>
      </c>
    </row>
    <row r="829" spans="1:7" x14ac:dyDescent="0.25">
      <c r="A829">
        <v>69</v>
      </c>
      <c r="B829" t="s">
        <v>249</v>
      </c>
      <c r="C829">
        <v>120</v>
      </c>
      <c r="D829" t="s">
        <v>250</v>
      </c>
      <c r="E829" t="s">
        <v>11</v>
      </c>
      <c r="F829">
        <v>1</v>
      </c>
      <c r="G829" t="s">
        <v>16</v>
      </c>
    </row>
    <row r="830" spans="1:7" x14ac:dyDescent="0.25">
      <c r="A830">
        <v>70</v>
      </c>
      <c r="B830" t="s">
        <v>251</v>
      </c>
      <c r="C830">
        <v>10</v>
      </c>
      <c r="D830" t="s">
        <v>332</v>
      </c>
      <c r="E830" t="s">
        <v>11</v>
      </c>
      <c r="F830">
        <v>1</v>
      </c>
      <c r="G830" t="s">
        <v>16</v>
      </c>
    </row>
    <row r="831" spans="1:7" x14ac:dyDescent="0.25">
      <c r="A831">
        <v>70</v>
      </c>
      <c r="B831" t="s">
        <v>251</v>
      </c>
      <c r="C831">
        <v>20</v>
      </c>
      <c r="D831" t="s">
        <v>109</v>
      </c>
      <c r="E831" t="s">
        <v>15</v>
      </c>
      <c r="F831">
        <v>2.1589999999999998</v>
      </c>
      <c r="G831" t="s">
        <v>16</v>
      </c>
    </row>
    <row r="832" spans="1:7" x14ac:dyDescent="0.25">
      <c r="A832">
        <v>70</v>
      </c>
      <c r="B832" t="s">
        <v>251</v>
      </c>
      <c r="C832">
        <v>30</v>
      </c>
      <c r="D832" t="s">
        <v>110</v>
      </c>
      <c r="E832" t="s">
        <v>15</v>
      </c>
      <c r="F832">
        <v>2.1589999999999998</v>
      </c>
      <c r="G832" t="s">
        <v>16</v>
      </c>
    </row>
    <row r="833" spans="1:7" x14ac:dyDescent="0.25">
      <c r="A833">
        <v>70</v>
      </c>
      <c r="B833" t="s">
        <v>251</v>
      </c>
      <c r="C833">
        <v>40</v>
      </c>
      <c r="D833" t="s">
        <v>105</v>
      </c>
      <c r="E833" t="s">
        <v>106</v>
      </c>
      <c r="F833">
        <v>0.29399999999999998</v>
      </c>
      <c r="G833" t="s">
        <v>14</v>
      </c>
    </row>
    <row r="834" spans="1:7" x14ac:dyDescent="0.25">
      <c r="A834">
        <v>70</v>
      </c>
      <c r="B834" t="s">
        <v>251</v>
      </c>
      <c r="C834">
        <v>50</v>
      </c>
      <c r="D834" t="s">
        <v>107</v>
      </c>
      <c r="E834" t="s">
        <v>15</v>
      </c>
      <c r="F834">
        <v>12.598000000000001</v>
      </c>
      <c r="G834" t="s">
        <v>14</v>
      </c>
    </row>
    <row r="835" spans="1:7" x14ac:dyDescent="0.25">
      <c r="A835">
        <v>70</v>
      </c>
      <c r="B835" t="s">
        <v>251</v>
      </c>
      <c r="C835">
        <v>60</v>
      </c>
      <c r="D835" t="s">
        <v>18</v>
      </c>
      <c r="E835" t="s">
        <v>15</v>
      </c>
      <c r="F835">
        <v>77.48</v>
      </c>
      <c r="G835" t="s">
        <v>14</v>
      </c>
    </row>
    <row r="836" spans="1:7" x14ac:dyDescent="0.25">
      <c r="A836">
        <v>70</v>
      </c>
      <c r="B836" t="s">
        <v>251</v>
      </c>
      <c r="C836">
        <v>70</v>
      </c>
      <c r="D836" t="s">
        <v>113</v>
      </c>
      <c r="E836" t="s">
        <v>11</v>
      </c>
      <c r="F836">
        <v>4</v>
      </c>
      <c r="G836" t="s">
        <v>14</v>
      </c>
    </row>
    <row r="837" spans="1:7" x14ac:dyDescent="0.25">
      <c r="A837">
        <v>70</v>
      </c>
      <c r="B837" t="s">
        <v>251</v>
      </c>
      <c r="C837">
        <v>80</v>
      </c>
      <c r="D837" t="s">
        <v>21</v>
      </c>
      <c r="E837" t="s">
        <v>11</v>
      </c>
      <c r="F837">
        <v>1</v>
      </c>
      <c r="G837" t="s">
        <v>14</v>
      </c>
    </row>
    <row r="838" spans="1:7" x14ac:dyDescent="0.25">
      <c r="A838">
        <v>70</v>
      </c>
      <c r="B838" t="s">
        <v>251</v>
      </c>
      <c r="C838">
        <v>90</v>
      </c>
      <c r="D838" t="s">
        <v>22</v>
      </c>
      <c r="E838" t="s">
        <v>11</v>
      </c>
      <c r="F838">
        <v>1</v>
      </c>
      <c r="G838" t="s">
        <v>14</v>
      </c>
    </row>
    <row r="839" spans="1:7" x14ac:dyDescent="0.25">
      <c r="A839">
        <v>70</v>
      </c>
      <c r="B839" t="s">
        <v>251</v>
      </c>
      <c r="C839">
        <v>100</v>
      </c>
      <c r="D839" t="s">
        <v>23</v>
      </c>
      <c r="E839" t="s">
        <v>11</v>
      </c>
      <c r="F839">
        <v>1</v>
      </c>
      <c r="G839" t="s">
        <v>14</v>
      </c>
    </row>
    <row r="840" spans="1:7" x14ac:dyDescent="0.25">
      <c r="A840">
        <v>70</v>
      </c>
      <c r="B840" t="s">
        <v>251</v>
      </c>
      <c r="C840">
        <v>110</v>
      </c>
      <c r="D840" t="s">
        <v>111</v>
      </c>
      <c r="E840" t="s">
        <v>13</v>
      </c>
      <c r="F840">
        <v>1.27</v>
      </c>
      <c r="G840" t="s">
        <v>14</v>
      </c>
    </row>
    <row r="841" spans="1:7" x14ac:dyDescent="0.25">
      <c r="A841">
        <v>70</v>
      </c>
      <c r="B841" t="s">
        <v>251</v>
      </c>
      <c r="C841">
        <v>120</v>
      </c>
      <c r="D841" t="s">
        <v>252</v>
      </c>
      <c r="E841" t="s">
        <v>11</v>
      </c>
      <c r="F841">
        <v>1</v>
      </c>
      <c r="G841" t="s">
        <v>16</v>
      </c>
    </row>
    <row r="842" spans="1:7" x14ac:dyDescent="0.25">
      <c r="A842">
        <v>71</v>
      </c>
      <c r="B842" t="s">
        <v>253</v>
      </c>
      <c r="C842">
        <v>10</v>
      </c>
      <c r="D842" t="s">
        <v>333</v>
      </c>
      <c r="E842" t="s">
        <v>11</v>
      </c>
      <c r="F842">
        <v>1</v>
      </c>
      <c r="G842" t="s">
        <v>16</v>
      </c>
    </row>
    <row r="843" spans="1:7" x14ac:dyDescent="0.25">
      <c r="A843">
        <v>71</v>
      </c>
      <c r="B843" t="s">
        <v>253</v>
      </c>
      <c r="C843">
        <v>20</v>
      </c>
      <c r="D843" t="s">
        <v>109</v>
      </c>
      <c r="E843" t="s">
        <v>15</v>
      </c>
      <c r="F843">
        <v>2.1589999999999998</v>
      </c>
      <c r="G843" t="s">
        <v>16</v>
      </c>
    </row>
    <row r="844" spans="1:7" x14ac:dyDescent="0.25">
      <c r="A844">
        <v>71</v>
      </c>
      <c r="B844" t="s">
        <v>253</v>
      </c>
      <c r="C844">
        <v>30</v>
      </c>
      <c r="D844" t="s">
        <v>110</v>
      </c>
      <c r="E844" t="s">
        <v>15</v>
      </c>
      <c r="F844">
        <v>2.1589999999999998</v>
      </c>
      <c r="G844" t="s">
        <v>16</v>
      </c>
    </row>
    <row r="845" spans="1:7" x14ac:dyDescent="0.25">
      <c r="A845">
        <v>71</v>
      </c>
      <c r="B845" t="s">
        <v>253</v>
      </c>
      <c r="C845">
        <v>40</v>
      </c>
      <c r="D845" t="s">
        <v>105</v>
      </c>
      <c r="E845" t="s">
        <v>106</v>
      </c>
      <c r="F845">
        <v>0.34499999999999997</v>
      </c>
      <c r="G845" t="s">
        <v>14</v>
      </c>
    </row>
    <row r="846" spans="1:7" x14ac:dyDescent="0.25">
      <c r="A846">
        <v>71</v>
      </c>
      <c r="B846" t="s">
        <v>253</v>
      </c>
      <c r="C846">
        <v>50</v>
      </c>
      <c r="D846" t="s">
        <v>107</v>
      </c>
      <c r="E846" t="s">
        <v>15</v>
      </c>
      <c r="F846">
        <v>13.208</v>
      </c>
      <c r="G846" t="s">
        <v>14</v>
      </c>
    </row>
    <row r="847" spans="1:7" x14ac:dyDescent="0.25">
      <c r="A847">
        <v>71</v>
      </c>
      <c r="B847" t="s">
        <v>253</v>
      </c>
      <c r="C847">
        <v>60</v>
      </c>
      <c r="D847" t="s">
        <v>18</v>
      </c>
      <c r="E847" t="s">
        <v>15</v>
      </c>
      <c r="F847">
        <v>81.228999999999999</v>
      </c>
      <c r="G847" t="s">
        <v>14</v>
      </c>
    </row>
    <row r="848" spans="1:7" x14ac:dyDescent="0.25">
      <c r="A848">
        <v>71</v>
      </c>
      <c r="B848" t="s">
        <v>253</v>
      </c>
      <c r="C848">
        <v>70</v>
      </c>
      <c r="D848" t="s">
        <v>113</v>
      </c>
      <c r="E848" t="s">
        <v>11</v>
      </c>
      <c r="F848">
        <v>4</v>
      </c>
      <c r="G848" t="s">
        <v>14</v>
      </c>
    </row>
    <row r="849" spans="1:7" x14ac:dyDescent="0.25">
      <c r="A849">
        <v>71</v>
      </c>
      <c r="B849" t="s">
        <v>253</v>
      </c>
      <c r="C849">
        <v>80</v>
      </c>
      <c r="D849" t="s">
        <v>21</v>
      </c>
      <c r="E849" t="s">
        <v>11</v>
      </c>
      <c r="F849">
        <v>1</v>
      </c>
      <c r="G849" t="s">
        <v>14</v>
      </c>
    </row>
    <row r="850" spans="1:7" x14ac:dyDescent="0.25">
      <c r="A850">
        <v>71</v>
      </c>
      <c r="B850" t="s">
        <v>253</v>
      </c>
      <c r="C850">
        <v>90</v>
      </c>
      <c r="D850" t="s">
        <v>22</v>
      </c>
      <c r="E850" t="s">
        <v>11</v>
      </c>
      <c r="F850">
        <v>1</v>
      </c>
      <c r="G850" t="s">
        <v>14</v>
      </c>
    </row>
    <row r="851" spans="1:7" x14ac:dyDescent="0.25">
      <c r="A851">
        <v>71</v>
      </c>
      <c r="B851" t="s">
        <v>253</v>
      </c>
      <c r="C851">
        <v>100</v>
      </c>
      <c r="D851" t="s">
        <v>23</v>
      </c>
      <c r="E851" t="s">
        <v>11</v>
      </c>
      <c r="F851">
        <v>1</v>
      </c>
      <c r="G851" t="s">
        <v>14</v>
      </c>
    </row>
    <row r="852" spans="1:7" x14ac:dyDescent="0.25">
      <c r="A852">
        <v>71</v>
      </c>
      <c r="B852" t="s">
        <v>253</v>
      </c>
      <c r="C852">
        <v>110</v>
      </c>
      <c r="D852" t="s">
        <v>111</v>
      </c>
      <c r="E852" t="s">
        <v>13</v>
      </c>
      <c r="F852">
        <v>1.27</v>
      </c>
      <c r="G852" t="s">
        <v>14</v>
      </c>
    </row>
    <row r="853" spans="1:7" x14ac:dyDescent="0.25">
      <c r="A853">
        <v>71</v>
      </c>
      <c r="B853" t="s">
        <v>253</v>
      </c>
      <c r="C853">
        <v>120</v>
      </c>
      <c r="D853" t="s">
        <v>254</v>
      </c>
      <c r="E853" t="s">
        <v>11</v>
      </c>
      <c r="F853">
        <v>1</v>
      </c>
      <c r="G853" t="s">
        <v>16</v>
      </c>
    </row>
    <row r="854" spans="1:7" x14ac:dyDescent="0.25">
      <c r="A854">
        <v>72</v>
      </c>
      <c r="B854" t="s">
        <v>255</v>
      </c>
      <c r="C854">
        <v>10</v>
      </c>
      <c r="D854" t="s">
        <v>334</v>
      </c>
      <c r="E854" t="s">
        <v>11</v>
      </c>
      <c r="F854">
        <v>1</v>
      </c>
      <c r="G854" t="s">
        <v>16</v>
      </c>
    </row>
    <row r="855" spans="1:7" x14ac:dyDescent="0.25">
      <c r="A855">
        <v>72</v>
      </c>
      <c r="B855" t="s">
        <v>255</v>
      </c>
      <c r="C855">
        <v>20</v>
      </c>
      <c r="D855" t="s">
        <v>109</v>
      </c>
      <c r="E855" t="s">
        <v>15</v>
      </c>
      <c r="F855">
        <v>2.1589999999999998</v>
      </c>
      <c r="G855" t="s">
        <v>16</v>
      </c>
    </row>
    <row r="856" spans="1:7" x14ac:dyDescent="0.25">
      <c r="A856">
        <v>72</v>
      </c>
      <c r="B856" t="s">
        <v>255</v>
      </c>
      <c r="C856">
        <v>30</v>
      </c>
      <c r="D856" t="s">
        <v>110</v>
      </c>
      <c r="E856" t="s">
        <v>15</v>
      </c>
      <c r="F856">
        <v>2.1589999999999998</v>
      </c>
      <c r="G856" t="s">
        <v>16</v>
      </c>
    </row>
    <row r="857" spans="1:7" x14ac:dyDescent="0.25">
      <c r="A857">
        <v>72</v>
      </c>
      <c r="B857" t="s">
        <v>255</v>
      </c>
      <c r="C857">
        <v>40</v>
      </c>
      <c r="D857" t="s">
        <v>105</v>
      </c>
      <c r="E857" t="s">
        <v>106</v>
      </c>
      <c r="F857">
        <v>0.39500000000000002</v>
      </c>
      <c r="G857" t="s">
        <v>14</v>
      </c>
    </row>
    <row r="858" spans="1:7" x14ac:dyDescent="0.25">
      <c r="A858">
        <v>72</v>
      </c>
      <c r="B858" t="s">
        <v>255</v>
      </c>
      <c r="C858">
        <v>50</v>
      </c>
      <c r="D858" t="s">
        <v>107</v>
      </c>
      <c r="E858" t="s">
        <v>15</v>
      </c>
      <c r="F858">
        <v>13.818</v>
      </c>
      <c r="G858" t="s">
        <v>14</v>
      </c>
    </row>
    <row r="859" spans="1:7" x14ac:dyDescent="0.25">
      <c r="A859">
        <v>72</v>
      </c>
      <c r="B859" t="s">
        <v>255</v>
      </c>
      <c r="C859">
        <v>60</v>
      </c>
      <c r="D859" t="s">
        <v>18</v>
      </c>
      <c r="E859" t="s">
        <v>15</v>
      </c>
      <c r="F859">
        <v>84.977999999999994</v>
      </c>
      <c r="G859" t="s">
        <v>14</v>
      </c>
    </row>
    <row r="860" spans="1:7" x14ac:dyDescent="0.25">
      <c r="A860">
        <v>72</v>
      </c>
      <c r="B860" t="s">
        <v>255</v>
      </c>
      <c r="C860">
        <v>70</v>
      </c>
      <c r="D860" t="s">
        <v>113</v>
      </c>
      <c r="E860" t="s">
        <v>11</v>
      </c>
      <c r="F860">
        <v>4</v>
      </c>
      <c r="G860" t="s">
        <v>14</v>
      </c>
    </row>
    <row r="861" spans="1:7" x14ac:dyDescent="0.25">
      <c r="A861">
        <v>72</v>
      </c>
      <c r="B861" t="s">
        <v>255</v>
      </c>
      <c r="C861">
        <v>80</v>
      </c>
      <c r="D861" t="s">
        <v>21</v>
      </c>
      <c r="E861" t="s">
        <v>11</v>
      </c>
      <c r="F861">
        <v>1</v>
      </c>
      <c r="G861" t="s">
        <v>14</v>
      </c>
    </row>
    <row r="862" spans="1:7" x14ac:dyDescent="0.25">
      <c r="A862">
        <v>72</v>
      </c>
      <c r="B862" t="s">
        <v>255</v>
      </c>
      <c r="C862">
        <v>90</v>
      </c>
      <c r="D862" t="s">
        <v>22</v>
      </c>
      <c r="E862" t="s">
        <v>11</v>
      </c>
      <c r="F862">
        <v>1</v>
      </c>
      <c r="G862" t="s">
        <v>14</v>
      </c>
    </row>
    <row r="863" spans="1:7" x14ac:dyDescent="0.25">
      <c r="A863">
        <v>72</v>
      </c>
      <c r="B863" t="s">
        <v>255</v>
      </c>
      <c r="C863">
        <v>100</v>
      </c>
      <c r="D863" t="s">
        <v>23</v>
      </c>
      <c r="E863" t="s">
        <v>11</v>
      </c>
      <c r="F863">
        <v>1</v>
      </c>
      <c r="G863" t="s">
        <v>14</v>
      </c>
    </row>
    <row r="864" spans="1:7" x14ac:dyDescent="0.25">
      <c r="A864">
        <v>72</v>
      </c>
      <c r="B864" t="s">
        <v>255</v>
      </c>
      <c r="C864">
        <v>110</v>
      </c>
      <c r="D864" t="s">
        <v>111</v>
      </c>
      <c r="E864" t="s">
        <v>13</v>
      </c>
      <c r="F864">
        <v>1.27</v>
      </c>
      <c r="G864" t="s">
        <v>14</v>
      </c>
    </row>
    <row r="865" spans="1:7" x14ac:dyDescent="0.25">
      <c r="A865">
        <v>72</v>
      </c>
      <c r="B865" t="s">
        <v>255</v>
      </c>
      <c r="C865">
        <v>120</v>
      </c>
      <c r="D865" t="s">
        <v>256</v>
      </c>
      <c r="E865" t="s">
        <v>11</v>
      </c>
      <c r="F865">
        <v>1</v>
      </c>
      <c r="G865" t="s">
        <v>16</v>
      </c>
    </row>
    <row r="866" spans="1:7" x14ac:dyDescent="0.25">
      <c r="A866">
        <v>73</v>
      </c>
      <c r="B866" t="s">
        <v>257</v>
      </c>
      <c r="C866">
        <v>10</v>
      </c>
      <c r="D866" t="s">
        <v>335</v>
      </c>
      <c r="E866" t="s">
        <v>11</v>
      </c>
      <c r="F866">
        <v>1</v>
      </c>
      <c r="G866" t="s">
        <v>16</v>
      </c>
    </row>
    <row r="867" spans="1:7" x14ac:dyDescent="0.25">
      <c r="A867">
        <v>73</v>
      </c>
      <c r="B867" t="s">
        <v>257</v>
      </c>
      <c r="C867">
        <v>20</v>
      </c>
      <c r="D867" t="s">
        <v>109</v>
      </c>
      <c r="E867" t="s">
        <v>15</v>
      </c>
      <c r="F867">
        <v>2.1589999999999998</v>
      </c>
      <c r="G867" t="s">
        <v>16</v>
      </c>
    </row>
    <row r="868" spans="1:7" x14ac:dyDescent="0.25">
      <c r="A868">
        <v>73</v>
      </c>
      <c r="B868" t="s">
        <v>257</v>
      </c>
      <c r="C868">
        <v>30</v>
      </c>
      <c r="D868" t="s">
        <v>110</v>
      </c>
      <c r="E868" t="s">
        <v>15</v>
      </c>
      <c r="F868">
        <v>2.1589999999999998</v>
      </c>
      <c r="G868" t="s">
        <v>16</v>
      </c>
    </row>
    <row r="869" spans="1:7" x14ac:dyDescent="0.25">
      <c r="A869">
        <v>73</v>
      </c>
      <c r="B869" t="s">
        <v>257</v>
      </c>
      <c r="C869">
        <v>40</v>
      </c>
      <c r="D869" t="s">
        <v>105</v>
      </c>
      <c r="E869" t="s">
        <v>106</v>
      </c>
      <c r="F869">
        <v>0.496</v>
      </c>
      <c r="G869" t="s">
        <v>14</v>
      </c>
    </row>
    <row r="870" spans="1:7" x14ac:dyDescent="0.25">
      <c r="A870">
        <v>73</v>
      </c>
      <c r="B870" t="s">
        <v>257</v>
      </c>
      <c r="C870">
        <v>50</v>
      </c>
      <c r="D870" t="s">
        <v>107</v>
      </c>
      <c r="E870" t="s">
        <v>15</v>
      </c>
      <c r="F870">
        <v>15.037000000000001</v>
      </c>
      <c r="G870" t="s">
        <v>14</v>
      </c>
    </row>
    <row r="871" spans="1:7" x14ac:dyDescent="0.25">
      <c r="A871">
        <v>73</v>
      </c>
      <c r="B871" t="s">
        <v>257</v>
      </c>
      <c r="C871">
        <v>60</v>
      </c>
      <c r="D871" t="s">
        <v>18</v>
      </c>
      <c r="E871" t="s">
        <v>15</v>
      </c>
      <c r="F871">
        <v>92.475999999999999</v>
      </c>
      <c r="G871" t="s">
        <v>14</v>
      </c>
    </row>
    <row r="872" spans="1:7" x14ac:dyDescent="0.25">
      <c r="A872">
        <v>73</v>
      </c>
      <c r="B872" t="s">
        <v>257</v>
      </c>
      <c r="C872">
        <v>70</v>
      </c>
      <c r="D872" t="s">
        <v>113</v>
      </c>
      <c r="E872" t="s">
        <v>11</v>
      </c>
      <c r="F872">
        <v>4</v>
      </c>
      <c r="G872" t="s">
        <v>14</v>
      </c>
    </row>
    <row r="873" spans="1:7" x14ac:dyDescent="0.25">
      <c r="A873">
        <v>73</v>
      </c>
      <c r="B873" t="s">
        <v>257</v>
      </c>
      <c r="C873">
        <v>80</v>
      </c>
      <c r="D873" t="s">
        <v>21</v>
      </c>
      <c r="E873" t="s">
        <v>11</v>
      </c>
      <c r="F873">
        <v>1</v>
      </c>
      <c r="G873" t="s">
        <v>14</v>
      </c>
    </row>
    <row r="874" spans="1:7" x14ac:dyDescent="0.25">
      <c r="A874">
        <v>73</v>
      </c>
      <c r="B874" t="s">
        <v>257</v>
      </c>
      <c r="C874">
        <v>90</v>
      </c>
      <c r="D874" t="s">
        <v>22</v>
      </c>
      <c r="E874" t="s">
        <v>11</v>
      </c>
      <c r="F874">
        <v>1</v>
      </c>
      <c r="G874" t="s">
        <v>14</v>
      </c>
    </row>
    <row r="875" spans="1:7" x14ac:dyDescent="0.25">
      <c r="A875">
        <v>73</v>
      </c>
      <c r="B875" t="s">
        <v>257</v>
      </c>
      <c r="C875">
        <v>100</v>
      </c>
      <c r="D875" t="s">
        <v>23</v>
      </c>
      <c r="E875" t="s">
        <v>11</v>
      </c>
      <c r="F875">
        <v>1</v>
      </c>
      <c r="G875" t="s">
        <v>14</v>
      </c>
    </row>
    <row r="876" spans="1:7" x14ac:dyDescent="0.25">
      <c r="A876">
        <v>73</v>
      </c>
      <c r="B876" t="s">
        <v>257</v>
      </c>
      <c r="C876">
        <v>110</v>
      </c>
      <c r="D876" t="s">
        <v>111</v>
      </c>
      <c r="E876" t="s">
        <v>13</v>
      </c>
      <c r="F876">
        <v>1.27</v>
      </c>
      <c r="G876" t="s">
        <v>14</v>
      </c>
    </row>
    <row r="877" spans="1:7" x14ac:dyDescent="0.25">
      <c r="A877">
        <v>73</v>
      </c>
      <c r="B877" t="s">
        <v>257</v>
      </c>
      <c r="C877">
        <v>120</v>
      </c>
      <c r="D877" t="s">
        <v>258</v>
      </c>
      <c r="E877" t="s">
        <v>11</v>
      </c>
      <c r="F877">
        <v>1</v>
      </c>
      <c r="G877" t="s">
        <v>16</v>
      </c>
    </row>
    <row r="878" spans="1:7" x14ac:dyDescent="0.25">
      <c r="A878">
        <v>74</v>
      </c>
      <c r="B878" t="s">
        <v>259</v>
      </c>
      <c r="C878">
        <v>10</v>
      </c>
      <c r="D878" t="s">
        <v>336</v>
      </c>
      <c r="E878" t="s">
        <v>11</v>
      </c>
      <c r="F878">
        <v>1</v>
      </c>
      <c r="G878" t="s">
        <v>16</v>
      </c>
    </row>
    <row r="879" spans="1:7" x14ac:dyDescent="0.25">
      <c r="A879">
        <v>74</v>
      </c>
      <c r="B879" t="s">
        <v>259</v>
      </c>
      <c r="C879">
        <v>20</v>
      </c>
      <c r="D879" t="s">
        <v>109</v>
      </c>
      <c r="E879" t="s">
        <v>15</v>
      </c>
      <c r="F879">
        <v>2.1589999999999998</v>
      </c>
      <c r="G879" t="s">
        <v>16</v>
      </c>
    </row>
    <row r="880" spans="1:7" x14ac:dyDescent="0.25">
      <c r="A880">
        <v>74</v>
      </c>
      <c r="B880" t="s">
        <v>259</v>
      </c>
      <c r="C880">
        <v>30</v>
      </c>
      <c r="D880" t="s">
        <v>110</v>
      </c>
      <c r="E880" t="s">
        <v>15</v>
      </c>
      <c r="F880">
        <v>2.1589999999999998</v>
      </c>
      <c r="G880" t="s">
        <v>16</v>
      </c>
    </row>
    <row r="881" spans="1:7" x14ac:dyDescent="0.25">
      <c r="A881">
        <v>74</v>
      </c>
      <c r="B881" t="s">
        <v>259</v>
      </c>
      <c r="C881">
        <v>40</v>
      </c>
      <c r="D881" t="s">
        <v>105</v>
      </c>
      <c r="E881" t="s">
        <v>106</v>
      </c>
      <c r="F881">
        <v>0.54600000000000004</v>
      </c>
      <c r="G881" t="s">
        <v>14</v>
      </c>
    </row>
    <row r="882" spans="1:7" x14ac:dyDescent="0.25">
      <c r="A882">
        <v>74</v>
      </c>
      <c r="B882" t="s">
        <v>259</v>
      </c>
      <c r="C882">
        <v>50</v>
      </c>
      <c r="D882" t="s">
        <v>107</v>
      </c>
      <c r="E882" t="s">
        <v>15</v>
      </c>
      <c r="F882">
        <v>15.646000000000001</v>
      </c>
      <c r="G882" t="s">
        <v>14</v>
      </c>
    </row>
    <row r="883" spans="1:7" x14ac:dyDescent="0.25">
      <c r="A883">
        <v>74</v>
      </c>
      <c r="B883" t="s">
        <v>259</v>
      </c>
      <c r="C883">
        <v>60</v>
      </c>
      <c r="D883" t="s">
        <v>18</v>
      </c>
      <c r="E883" t="s">
        <v>15</v>
      </c>
      <c r="F883">
        <v>96.224999999999994</v>
      </c>
      <c r="G883" t="s">
        <v>14</v>
      </c>
    </row>
    <row r="884" spans="1:7" x14ac:dyDescent="0.25">
      <c r="A884">
        <v>74</v>
      </c>
      <c r="B884" t="s">
        <v>259</v>
      </c>
      <c r="C884">
        <v>70</v>
      </c>
      <c r="D884" t="s">
        <v>113</v>
      </c>
      <c r="E884" t="s">
        <v>11</v>
      </c>
      <c r="F884">
        <v>4</v>
      </c>
      <c r="G884" t="s">
        <v>14</v>
      </c>
    </row>
    <row r="885" spans="1:7" x14ac:dyDescent="0.25">
      <c r="A885">
        <v>74</v>
      </c>
      <c r="B885" t="s">
        <v>259</v>
      </c>
      <c r="C885">
        <v>80</v>
      </c>
      <c r="D885" t="s">
        <v>21</v>
      </c>
      <c r="E885" t="s">
        <v>11</v>
      </c>
      <c r="F885">
        <v>1</v>
      </c>
      <c r="G885" t="s">
        <v>14</v>
      </c>
    </row>
    <row r="886" spans="1:7" x14ac:dyDescent="0.25">
      <c r="A886">
        <v>74</v>
      </c>
      <c r="B886" t="s">
        <v>259</v>
      </c>
      <c r="C886">
        <v>90</v>
      </c>
      <c r="D886" t="s">
        <v>22</v>
      </c>
      <c r="E886" t="s">
        <v>11</v>
      </c>
      <c r="F886">
        <v>1</v>
      </c>
      <c r="G886" t="s">
        <v>14</v>
      </c>
    </row>
    <row r="887" spans="1:7" x14ac:dyDescent="0.25">
      <c r="A887">
        <v>74</v>
      </c>
      <c r="B887" t="s">
        <v>259</v>
      </c>
      <c r="C887">
        <v>100</v>
      </c>
      <c r="D887" t="s">
        <v>23</v>
      </c>
      <c r="E887" t="s">
        <v>11</v>
      </c>
      <c r="F887">
        <v>1</v>
      </c>
      <c r="G887" t="s">
        <v>14</v>
      </c>
    </row>
    <row r="888" spans="1:7" x14ac:dyDescent="0.25">
      <c r="A888">
        <v>74</v>
      </c>
      <c r="B888" t="s">
        <v>259</v>
      </c>
      <c r="C888">
        <v>110</v>
      </c>
      <c r="D888" t="s">
        <v>111</v>
      </c>
      <c r="E888" t="s">
        <v>13</v>
      </c>
      <c r="F888">
        <v>1.27</v>
      </c>
      <c r="G888" t="s">
        <v>14</v>
      </c>
    </row>
    <row r="889" spans="1:7" x14ac:dyDescent="0.25">
      <c r="A889">
        <v>74</v>
      </c>
      <c r="B889" t="s">
        <v>259</v>
      </c>
      <c r="C889">
        <v>120</v>
      </c>
      <c r="D889" t="s">
        <v>260</v>
      </c>
      <c r="E889" t="s">
        <v>11</v>
      </c>
      <c r="F889">
        <v>1</v>
      </c>
      <c r="G889" t="s">
        <v>16</v>
      </c>
    </row>
    <row r="890" spans="1:7" x14ac:dyDescent="0.25">
      <c r="A890">
        <v>75</v>
      </c>
      <c r="B890" t="s">
        <v>261</v>
      </c>
      <c r="C890">
        <v>10</v>
      </c>
      <c r="D890" t="s">
        <v>337</v>
      </c>
      <c r="E890" t="s">
        <v>11</v>
      </c>
      <c r="F890">
        <v>1</v>
      </c>
      <c r="G890" t="s">
        <v>16</v>
      </c>
    </row>
    <row r="891" spans="1:7" x14ac:dyDescent="0.25">
      <c r="A891">
        <v>75</v>
      </c>
      <c r="B891" t="s">
        <v>261</v>
      </c>
      <c r="C891">
        <v>20</v>
      </c>
      <c r="D891" t="s">
        <v>109</v>
      </c>
      <c r="E891" t="s">
        <v>15</v>
      </c>
      <c r="F891">
        <v>2.1589999999999998</v>
      </c>
      <c r="G891" t="s">
        <v>16</v>
      </c>
    </row>
    <row r="892" spans="1:7" x14ac:dyDescent="0.25">
      <c r="A892">
        <v>75</v>
      </c>
      <c r="B892" t="s">
        <v>261</v>
      </c>
      <c r="C892">
        <v>30</v>
      </c>
      <c r="D892" t="s">
        <v>110</v>
      </c>
      <c r="E892" t="s">
        <v>15</v>
      </c>
      <c r="F892">
        <v>2.1589999999999998</v>
      </c>
      <c r="G892" t="s">
        <v>16</v>
      </c>
    </row>
    <row r="893" spans="1:7" x14ac:dyDescent="0.25">
      <c r="A893">
        <v>75</v>
      </c>
      <c r="B893" t="s">
        <v>261</v>
      </c>
      <c r="C893">
        <v>40</v>
      </c>
      <c r="D893" t="s">
        <v>105</v>
      </c>
      <c r="E893" t="s">
        <v>106</v>
      </c>
      <c r="F893">
        <v>0.59699999999999998</v>
      </c>
      <c r="G893" t="s">
        <v>14</v>
      </c>
    </row>
    <row r="894" spans="1:7" x14ac:dyDescent="0.25">
      <c r="A894">
        <v>75</v>
      </c>
      <c r="B894" t="s">
        <v>261</v>
      </c>
      <c r="C894">
        <v>50</v>
      </c>
      <c r="D894" t="s">
        <v>107</v>
      </c>
      <c r="E894" t="s">
        <v>15</v>
      </c>
      <c r="F894">
        <v>16.256</v>
      </c>
      <c r="G894" t="s">
        <v>14</v>
      </c>
    </row>
    <row r="895" spans="1:7" x14ac:dyDescent="0.25">
      <c r="A895">
        <v>75</v>
      </c>
      <c r="B895" t="s">
        <v>261</v>
      </c>
      <c r="C895">
        <v>60</v>
      </c>
      <c r="D895" t="s">
        <v>18</v>
      </c>
      <c r="E895" t="s">
        <v>15</v>
      </c>
      <c r="F895">
        <v>99.974000000000004</v>
      </c>
      <c r="G895" t="s">
        <v>14</v>
      </c>
    </row>
    <row r="896" spans="1:7" x14ac:dyDescent="0.25">
      <c r="A896">
        <v>75</v>
      </c>
      <c r="B896" t="s">
        <v>261</v>
      </c>
      <c r="C896">
        <v>70</v>
      </c>
      <c r="D896" t="s">
        <v>113</v>
      </c>
      <c r="E896" t="s">
        <v>11</v>
      </c>
      <c r="F896">
        <v>4</v>
      </c>
      <c r="G896" t="s">
        <v>14</v>
      </c>
    </row>
    <row r="897" spans="1:7" x14ac:dyDescent="0.25">
      <c r="A897">
        <v>75</v>
      </c>
      <c r="B897" t="s">
        <v>261</v>
      </c>
      <c r="C897">
        <v>80</v>
      </c>
      <c r="D897" t="s">
        <v>21</v>
      </c>
      <c r="E897" t="s">
        <v>11</v>
      </c>
      <c r="F897">
        <v>1</v>
      </c>
      <c r="G897" t="s">
        <v>14</v>
      </c>
    </row>
    <row r="898" spans="1:7" x14ac:dyDescent="0.25">
      <c r="A898">
        <v>75</v>
      </c>
      <c r="B898" t="s">
        <v>261</v>
      </c>
      <c r="C898">
        <v>90</v>
      </c>
      <c r="D898" t="s">
        <v>22</v>
      </c>
      <c r="E898" t="s">
        <v>11</v>
      </c>
      <c r="F898">
        <v>1</v>
      </c>
      <c r="G898" t="s">
        <v>14</v>
      </c>
    </row>
    <row r="899" spans="1:7" x14ac:dyDescent="0.25">
      <c r="A899">
        <v>75</v>
      </c>
      <c r="B899" t="s">
        <v>261</v>
      </c>
      <c r="C899">
        <v>100</v>
      </c>
      <c r="D899" t="s">
        <v>23</v>
      </c>
      <c r="E899" t="s">
        <v>11</v>
      </c>
      <c r="F899">
        <v>1</v>
      </c>
      <c r="G899" t="s">
        <v>14</v>
      </c>
    </row>
    <row r="900" spans="1:7" x14ac:dyDescent="0.25">
      <c r="A900">
        <v>75</v>
      </c>
      <c r="B900" t="s">
        <v>261</v>
      </c>
      <c r="C900">
        <v>110</v>
      </c>
      <c r="D900" t="s">
        <v>111</v>
      </c>
      <c r="E900" t="s">
        <v>13</v>
      </c>
      <c r="F900">
        <v>1.27</v>
      </c>
      <c r="G900" t="s">
        <v>14</v>
      </c>
    </row>
    <row r="901" spans="1:7" x14ac:dyDescent="0.25">
      <c r="A901">
        <v>75</v>
      </c>
      <c r="B901" t="s">
        <v>261</v>
      </c>
      <c r="C901">
        <v>120</v>
      </c>
      <c r="D901" t="s">
        <v>262</v>
      </c>
      <c r="E901" t="s">
        <v>11</v>
      </c>
      <c r="F901">
        <v>1</v>
      </c>
      <c r="G90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04"/>
  <sheetViews>
    <sheetView zoomScale="85" zoomScaleNormal="85" workbookViewId="0">
      <selection activeCell="Q24" sqref="Q24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6.570312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3" t="s">
        <v>26</v>
      </c>
      <c r="B1" s="44" t="s">
        <v>27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28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41" t="s">
        <v>29</v>
      </c>
      <c r="C2" s="41" t="s">
        <v>30</v>
      </c>
      <c r="D2" s="41" t="s">
        <v>31</v>
      </c>
      <c r="E2" s="41" t="s">
        <v>30</v>
      </c>
      <c r="F2" s="41" t="s">
        <v>31</v>
      </c>
      <c r="G2" s="41" t="s">
        <v>29</v>
      </c>
      <c r="H2" s="41" t="s">
        <v>31</v>
      </c>
      <c r="I2" s="41" t="s">
        <v>31</v>
      </c>
      <c r="J2" s="41" t="s">
        <v>31</v>
      </c>
      <c r="K2" s="41" t="s">
        <v>31</v>
      </c>
      <c r="L2" s="41" t="s">
        <v>29</v>
      </c>
      <c r="M2" s="42" t="s">
        <v>32</v>
      </c>
      <c r="N2" s="27" t="s">
        <v>32</v>
      </c>
      <c r="O2" s="42" t="s">
        <v>32</v>
      </c>
      <c r="P2" s="42" t="s">
        <v>33</v>
      </c>
      <c r="Q2" s="42" t="s">
        <v>32</v>
      </c>
      <c r="R2" s="42" t="s">
        <v>33</v>
      </c>
      <c r="S2" s="42" t="s">
        <v>32</v>
      </c>
      <c r="T2" s="42" t="s">
        <v>32</v>
      </c>
      <c r="U2" s="42" t="s">
        <v>33</v>
      </c>
      <c r="V2" s="42" t="s">
        <v>32</v>
      </c>
      <c r="W2" s="42" t="s">
        <v>32</v>
      </c>
      <c r="X2" s="42" t="s">
        <v>32</v>
      </c>
      <c r="Y2" s="42" t="s">
        <v>33</v>
      </c>
      <c r="Z2" s="42" t="s">
        <v>34</v>
      </c>
      <c r="AA2" s="42" t="s">
        <v>32</v>
      </c>
      <c r="AB2" s="42" t="s">
        <v>32</v>
      </c>
      <c r="AC2" s="42" t="s">
        <v>32</v>
      </c>
      <c r="AD2" s="42" t="s">
        <v>32</v>
      </c>
      <c r="AE2" s="42" t="s">
        <v>32</v>
      </c>
      <c r="AF2" s="42" t="s">
        <v>32</v>
      </c>
      <c r="AG2" s="42" t="s">
        <v>34</v>
      </c>
      <c r="AH2" s="42" t="s">
        <v>34</v>
      </c>
      <c r="AI2" s="42" t="s">
        <v>34</v>
      </c>
      <c r="AJ2" s="42" t="s">
        <v>32</v>
      </c>
      <c r="AK2" s="42" t="s">
        <v>32</v>
      </c>
      <c r="AL2" s="42" t="s">
        <v>32</v>
      </c>
    </row>
    <row r="3" spans="1:38" x14ac:dyDescent="0.25">
      <c r="A3" s="43"/>
      <c r="B3" s="41" t="s">
        <v>35</v>
      </c>
      <c r="C3" s="41" t="s">
        <v>36</v>
      </c>
      <c r="D3" s="41" t="s">
        <v>37</v>
      </c>
      <c r="E3" s="41" t="s">
        <v>36</v>
      </c>
      <c r="F3" s="41" t="s">
        <v>38</v>
      </c>
      <c r="G3" s="41" t="s">
        <v>39</v>
      </c>
      <c r="H3" s="41" t="s">
        <v>40</v>
      </c>
      <c r="I3" s="41" t="s">
        <v>41</v>
      </c>
      <c r="J3" s="41" t="s">
        <v>36</v>
      </c>
      <c r="K3" s="41" t="s">
        <v>36</v>
      </c>
      <c r="L3" s="41" t="s">
        <v>42</v>
      </c>
      <c r="M3" s="42" t="s">
        <v>43</v>
      </c>
      <c r="N3" s="27" t="s">
        <v>36</v>
      </c>
      <c r="O3" s="42" t="s">
        <v>38</v>
      </c>
      <c r="P3" s="42" t="s">
        <v>44</v>
      </c>
      <c r="Q3" s="42" t="s">
        <v>41</v>
      </c>
      <c r="R3" s="42" t="s">
        <v>40</v>
      </c>
      <c r="S3" s="42" t="s">
        <v>45</v>
      </c>
      <c r="T3" s="42" t="s">
        <v>43</v>
      </c>
      <c r="U3" s="42" t="s">
        <v>46</v>
      </c>
      <c r="V3" s="42" t="s">
        <v>40</v>
      </c>
      <c r="W3" s="42" t="s">
        <v>41</v>
      </c>
      <c r="X3" s="42" t="s">
        <v>41</v>
      </c>
      <c r="Y3" s="42" t="s">
        <v>35</v>
      </c>
      <c r="Z3" s="42" t="s">
        <v>42</v>
      </c>
      <c r="AA3" s="42" t="s">
        <v>47</v>
      </c>
      <c r="AB3" s="42" t="s">
        <v>47</v>
      </c>
      <c r="AC3" s="42" t="s">
        <v>41</v>
      </c>
      <c r="AD3" s="42" t="s">
        <v>41</v>
      </c>
      <c r="AE3" s="42" t="s">
        <v>46</v>
      </c>
      <c r="AF3" s="42" t="s">
        <v>45</v>
      </c>
      <c r="AG3" s="42" t="s">
        <v>35</v>
      </c>
      <c r="AH3" s="42" t="s">
        <v>42</v>
      </c>
      <c r="AI3" s="42" t="s">
        <v>42</v>
      </c>
      <c r="AJ3" s="42" t="s">
        <v>36</v>
      </c>
      <c r="AK3" s="42" t="s">
        <v>38</v>
      </c>
      <c r="AL3" s="42" t="s">
        <v>48</v>
      </c>
    </row>
    <row r="4" spans="1:38" x14ac:dyDescent="0.25">
      <c r="A4" s="43"/>
      <c r="B4" s="28" t="s">
        <v>49</v>
      </c>
      <c r="C4" s="28" t="s">
        <v>50</v>
      </c>
      <c r="D4" s="41" t="s">
        <v>51</v>
      </c>
      <c r="E4" s="28" t="s">
        <v>3</v>
      </c>
      <c r="F4" s="41" t="s">
        <v>52</v>
      </c>
      <c r="G4" s="28" t="s">
        <v>53</v>
      </c>
      <c r="H4" s="28" t="s">
        <v>6</v>
      </c>
      <c r="I4" s="28" t="s">
        <v>54</v>
      </c>
      <c r="J4" s="41" t="s">
        <v>55</v>
      </c>
      <c r="K4" s="41" t="s">
        <v>56</v>
      </c>
      <c r="L4" s="41" t="s">
        <v>57</v>
      </c>
      <c r="M4" s="29" t="s">
        <v>58</v>
      </c>
      <c r="N4" s="30" t="s">
        <v>3</v>
      </c>
      <c r="O4" s="42" t="s">
        <v>52</v>
      </c>
      <c r="P4" s="42" t="s">
        <v>59</v>
      </c>
      <c r="Q4" s="42" t="s">
        <v>60</v>
      </c>
      <c r="R4" s="42" t="s">
        <v>4</v>
      </c>
      <c r="S4" s="42" t="s">
        <v>61</v>
      </c>
      <c r="T4" s="42" t="s">
        <v>62</v>
      </c>
      <c r="U4" s="42" t="s">
        <v>63</v>
      </c>
      <c r="V4" s="42" t="s">
        <v>6</v>
      </c>
      <c r="W4" s="42" t="s">
        <v>64</v>
      </c>
      <c r="X4" s="42" t="s">
        <v>65</v>
      </c>
      <c r="Y4" s="42" t="s">
        <v>66</v>
      </c>
      <c r="Z4" s="42" t="s">
        <v>67</v>
      </c>
      <c r="AA4" s="42" t="s">
        <v>68</v>
      </c>
      <c r="AB4" s="42" t="s">
        <v>69</v>
      </c>
      <c r="AC4" s="42" t="s">
        <v>70</v>
      </c>
      <c r="AD4" s="42" t="s">
        <v>71</v>
      </c>
      <c r="AE4" s="42" t="s">
        <v>72</v>
      </c>
      <c r="AF4" s="42" t="s">
        <v>73</v>
      </c>
      <c r="AG4" s="42" t="s">
        <v>74</v>
      </c>
      <c r="AH4" s="42" t="s">
        <v>75</v>
      </c>
      <c r="AI4" s="42" t="s">
        <v>76</v>
      </c>
      <c r="AJ4" s="42" t="s">
        <v>77</v>
      </c>
      <c r="AK4" s="42" t="s">
        <v>78</v>
      </c>
      <c r="AL4" s="42" t="s">
        <v>79</v>
      </c>
    </row>
    <row r="5" spans="1:38" x14ac:dyDescent="0.25">
      <c r="A5" s="3">
        <v>1</v>
      </c>
      <c r="B5" s="3" t="s">
        <v>89</v>
      </c>
      <c r="C5" s="3" t="s">
        <v>112</v>
      </c>
      <c r="D5" s="3"/>
      <c r="E5" s="3" t="s">
        <v>112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112</v>
      </c>
      <c r="D6" s="3"/>
      <c r="E6" s="3" t="s">
        <v>112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109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112</v>
      </c>
      <c r="D7" s="3"/>
      <c r="E7" s="3" t="s">
        <v>112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110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112</v>
      </c>
      <c r="D8" s="3"/>
      <c r="E8" s="3" t="s">
        <v>112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0.23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112</v>
      </c>
      <c r="D9" s="3"/>
      <c r="E9" s="3" t="s">
        <v>112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107</v>
      </c>
      <c r="O9" s="3"/>
      <c r="P9" s="3"/>
      <c r="Q9" s="3">
        <v>11.074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112</v>
      </c>
      <c r="D10" s="3"/>
      <c r="E10" s="3" t="s">
        <v>112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68.108000000000004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112</v>
      </c>
      <c r="D11" s="3"/>
      <c r="E11" s="3" t="s">
        <v>112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113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112</v>
      </c>
      <c r="D12" s="3"/>
      <c r="E12" s="3" t="s">
        <v>112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112</v>
      </c>
      <c r="D13" s="3"/>
      <c r="E13" s="3" t="s">
        <v>112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112</v>
      </c>
      <c r="D14" s="3"/>
      <c r="E14" s="3" t="s">
        <v>112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112</v>
      </c>
      <c r="D15" s="3"/>
      <c r="E15" s="3" t="s">
        <v>112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111</v>
      </c>
      <c r="O15" s="3"/>
      <c r="P15" s="3"/>
      <c r="Q15" s="3">
        <v>0.58099999999999996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112</v>
      </c>
      <c r="D16" s="3"/>
      <c r="E16" s="3" t="s">
        <v>112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153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89</v>
      </c>
      <c r="C17" s="3" t="s">
        <v>114</v>
      </c>
      <c r="D17" s="3"/>
      <c r="E17" s="3" t="s">
        <v>114</v>
      </c>
      <c r="F17" s="3"/>
      <c r="G17" s="3"/>
      <c r="H17" s="3"/>
      <c r="I17" s="3"/>
      <c r="J17" s="3"/>
      <c r="K17" s="3"/>
      <c r="L17" s="3" t="s">
        <v>90</v>
      </c>
      <c r="M17" s="3">
        <v>10</v>
      </c>
      <c r="N17" s="3" t="s">
        <v>264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114</v>
      </c>
      <c r="D18" s="3"/>
      <c r="E18" s="3" t="s">
        <v>114</v>
      </c>
      <c r="F18" s="3"/>
      <c r="G18" s="3"/>
      <c r="H18" s="3"/>
      <c r="I18" s="3"/>
      <c r="J18" s="3"/>
      <c r="K18" s="3"/>
      <c r="L18" s="3" t="s">
        <v>90</v>
      </c>
      <c r="M18" s="3">
        <v>20</v>
      </c>
      <c r="N18" s="3" t="s">
        <v>109</v>
      </c>
      <c r="O18" s="3"/>
      <c r="P18" s="3"/>
      <c r="Q18" s="3">
        <v>1.016</v>
      </c>
      <c r="R18" s="3" t="s">
        <v>15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114</v>
      </c>
      <c r="D19" s="3"/>
      <c r="E19" s="3" t="s">
        <v>114</v>
      </c>
      <c r="F19" s="3"/>
      <c r="G19" s="3"/>
      <c r="H19" s="3"/>
      <c r="I19" s="3"/>
      <c r="J19" s="3"/>
      <c r="K19" s="3"/>
      <c r="L19" s="3" t="s">
        <v>90</v>
      </c>
      <c r="M19" s="3">
        <v>30</v>
      </c>
      <c r="N19" s="3" t="s">
        <v>110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114</v>
      </c>
      <c r="D20" s="3"/>
      <c r="E20" s="3" t="s">
        <v>114</v>
      </c>
      <c r="F20" s="3"/>
      <c r="G20" s="3"/>
      <c r="H20" s="3"/>
      <c r="I20" s="3"/>
      <c r="J20" s="3"/>
      <c r="K20" s="3"/>
      <c r="L20" s="3" t="s">
        <v>90</v>
      </c>
      <c r="M20" s="3">
        <v>40</v>
      </c>
      <c r="N20" s="3" t="s">
        <v>105</v>
      </c>
      <c r="O20" s="3"/>
      <c r="P20" s="3"/>
      <c r="Q20" s="3">
        <v>0.27300000000000002</v>
      </c>
      <c r="R20" s="3" t="s">
        <v>106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114</v>
      </c>
      <c r="D21" s="3"/>
      <c r="E21" s="3" t="s">
        <v>114</v>
      </c>
      <c r="F21" s="3"/>
      <c r="G21" s="3"/>
      <c r="H21" s="3"/>
      <c r="I21" s="3"/>
      <c r="J21" s="3"/>
      <c r="K21" s="3"/>
      <c r="L21" s="3" t="s">
        <v>90</v>
      </c>
      <c r="M21" s="3">
        <v>50</v>
      </c>
      <c r="N21" s="3" t="s">
        <v>107</v>
      </c>
      <c r="O21" s="3"/>
      <c r="P21" s="3"/>
      <c r="Q21" s="3">
        <v>11.683999999999999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114</v>
      </c>
      <c r="D22" s="3"/>
      <c r="E22" s="3" t="s">
        <v>114</v>
      </c>
      <c r="F22" s="3"/>
      <c r="G22" s="3"/>
      <c r="H22" s="3"/>
      <c r="I22" s="3"/>
      <c r="J22" s="3"/>
      <c r="K22" s="3"/>
      <c r="L22" s="3" t="s">
        <v>90</v>
      </c>
      <c r="M22" s="3">
        <v>60</v>
      </c>
      <c r="N22" s="3" t="s">
        <v>18</v>
      </c>
      <c r="O22" s="3"/>
      <c r="P22" s="3"/>
      <c r="Q22" s="3">
        <v>71.856999999999999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114</v>
      </c>
      <c r="D23" s="3"/>
      <c r="E23" s="3" t="s">
        <v>114</v>
      </c>
      <c r="F23" s="3"/>
      <c r="G23" s="3"/>
      <c r="H23" s="3"/>
      <c r="I23" s="3"/>
      <c r="J23" s="3"/>
      <c r="K23" s="3"/>
      <c r="L23" s="3" t="s">
        <v>90</v>
      </c>
      <c r="M23" s="3">
        <v>70</v>
      </c>
      <c r="N23" s="3" t="s">
        <v>113</v>
      </c>
      <c r="O23" s="3"/>
      <c r="P23" s="3"/>
      <c r="Q23" s="3">
        <v>4</v>
      </c>
      <c r="R23" s="3" t="s">
        <v>11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114</v>
      </c>
      <c r="D24" s="3"/>
      <c r="E24" s="3" t="s">
        <v>114</v>
      </c>
      <c r="F24" s="3"/>
      <c r="G24" s="3"/>
      <c r="H24" s="3"/>
      <c r="I24" s="3"/>
      <c r="J24" s="3"/>
      <c r="K24" s="3"/>
      <c r="L24" s="3" t="s">
        <v>90</v>
      </c>
      <c r="M24" s="3">
        <v>80</v>
      </c>
      <c r="N24" s="3" t="s">
        <v>21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114</v>
      </c>
      <c r="D25" s="3"/>
      <c r="E25" s="3" t="s">
        <v>114</v>
      </c>
      <c r="F25" s="3"/>
      <c r="G25" s="3"/>
      <c r="H25" s="3"/>
      <c r="I25" s="3"/>
      <c r="J25" s="3"/>
      <c r="K25" s="3"/>
      <c r="L25" s="3" t="s">
        <v>90</v>
      </c>
      <c r="M25" s="3">
        <v>90</v>
      </c>
      <c r="N25" s="3" t="s">
        <v>22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114</v>
      </c>
      <c r="D26" s="3"/>
      <c r="E26" s="3" t="s">
        <v>114</v>
      </c>
      <c r="F26" s="3"/>
      <c r="G26" s="3"/>
      <c r="H26" s="3"/>
      <c r="I26" s="3"/>
      <c r="J26" s="3"/>
      <c r="K26" s="3"/>
      <c r="L26" s="3" t="s">
        <v>90</v>
      </c>
      <c r="M26" s="3">
        <v>100</v>
      </c>
      <c r="N26" s="3" t="s">
        <v>23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114</v>
      </c>
      <c r="D27" s="3"/>
      <c r="E27" s="3" t="s">
        <v>114</v>
      </c>
      <c r="F27" s="3"/>
      <c r="G27" s="3"/>
      <c r="H27" s="3"/>
      <c r="I27" s="3"/>
      <c r="J27" s="3"/>
      <c r="K27" s="3"/>
      <c r="L27" s="3" t="s">
        <v>90</v>
      </c>
      <c r="M27" s="3">
        <v>110</v>
      </c>
      <c r="N27" s="3" t="s">
        <v>111</v>
      </c>
      <c r="O27" s="3"/>
      <c r="P27" s="3"/>
      <c r="Q27" s="3">
        <v>0.66200000000000003</v>
      </c>
      <c r="R27" s="3" t="s">
        <v>13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114</v>
      </c>
      <c r="D28" s="3"/>
      <c r="E28" s="3" t="s">
        <v>114</v>
      </c>
      <c r="F28" s="3"/>
      <c r="G28" s="3"/>
      <c r="H28" s="3"/>
      <c r="I28" s="3"/>
      <c r="J28" s="3"/>
      <c r="K28" s="3"/>
      <c r="L28" s="3" t="s">
        <v>90</v>
      </c>
      <c r="M28" s="3">
        <v>120</v>
      </c>
      <c r="N28" s="3" t="s">
        <v>154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16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89</v>
      </c>
      <c r="C29" s="3" t="s">
        <v>115</v>
      </c>
      <c r="D29" s="3"/>
      <c r="E29" s="3" t="s">
        <v>115</v>
      </c>
      <c r="F29" s="3"/>
      <c r="G29" s="3"/>
      <c r="H29" s="3"/>
      <c r="I29" s="3"/>
      <c r="J29" s="3"/>
      <c r="K29" s="3"/>
      <c r="L29" s="3" t="s">
        <v>90</v>
      </c>
      <c r="M29" s="3">
        <v>10</v>
      </c>
      <c r="N29" s="3" t="s">
        <v>265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89</v>
      </c>
      <c r="C30" s="3" t="s">
        <v>115</v>
      </c>
      <c r="D30" s="3"/>
      <c r="E30" s="3" t="s">
        <v>115</v>
      </c>
      <c r="F30" s="3"/>
      <c r="G30" s="3"/>
      <c r="H30" s="3"/>
      <c r="I30" s="3"/>
      <c r="J30" s="3"/>
      <c r="K30" s="3"/>
      <c r="L30" s="3" t="s">
        <v>90</v>
      </c>
      <c r="M30" s="3">
        <v>20</v>
      </c>
      <c r="N30" s="3" t="s">
        <v>109</v>
      </c>
      <c r="O30" s="3"/>
      <c r="P30" s="3"/>
      <c r="Q30" s="3">
        <v>1.1679999999999999</v>
      </c>
      <c r="R30" s="3" t="s">
        <v>15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115</v>
      </c>
      <c r="D31" s="3"/>
      <c r="E31" s="3" t="s">
        <v>115</v>
      </c>
      <c r="F31" s="3"/>
      <c r="G31" s="3"/>
      <c r="H31" s="3"/>
      <c r="I31" s="3"/>
      <c r="J31" s="3"/>
      <c r="K31" s="3"/>
      <c r="L31" s="3" t="s">
        <v>90</v>
      </c>
      <c r="M31" s="3">
        <v>30</v>
      </c>
      <c r="N31" s="3" t="s">
        <v>110</v>
      </c>
      <c r="O31" s="3"/>
      <c r="P31" s="3"/>
      <c r="Q31" s="3">
        <v>1.1679999999999999</v>
      </c>
      <c r="R31" s="3" t="s">
        <v>15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115</v>
      </c>
      <c r="D32" s="3"/>
      <c r="E32" s="3" t="s">
        <v>115</v>
      </c>
      <c r="F32" s="3"/>
      <c r="G32" s="3"/>
      <c r="H32" s="3"/>
      <c r="I32" s="3"/>
      <c r="J32" s="3"/>
      <c r="K32" s="3"/>
      <c r="L32" s="3" t="s">
        <v>90</v>
      </c>
      <c r="M32" s="3">
        <v>40</v>
      </c>
      <c r="N32" s="3" t="s">
        <v>105</v>
      </c>
      <c r="O32" s="3"/>
      <c r="P32" s="3"/>
      <c r="Q32" s="3">
        <v>0.316</v>
      </c>
      <c r="R32" s="3" t="s">
        <v>106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115</v>
      </c>
      <c r="D33" s="3"/>
      <c r="E33" s="3" t="s">
        <v>115</v>
      </c>
      <c r="F33" s="3"/>
      <c r="G33" s="3"/>
      <c r="H33" s="3"/>
      <c r="I33" s="3"/>
      <c r="J33" s="3"/>
      <c r="K33" s="3"/>
      <c r="L33" s="3" t="s">
        <v>90</v>
      </c>
      <c r="M33" s="3">
        <v>50</v>
      </c>
      <c r="N33" s="3" t="s">
        <v>107</v>
      </c>
      <c r="O33" s="3"/>
      <c r="P33" s="3"/>
      <c r="Q33" s="3">
        <v>12.294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115</v>
      </c>
      <c r="D34" s="3"/>
      <c r="E34" s="3" t="s">
        <v>115</v>
      </c>
      <c r="F34" s="3"/>
      <c r="G34" s="3"/>
      <c r="H34" s="3"/>
      <c r="I34" s="3"/>
      <c r="J34" s="3"/>
      <c r="K34" s="3"/>
      <c r="L34" s="3" t="s">
        <v>90</v>
      </c>
      <c r="M34" s="3">
        <v>60</v>
      </c>
      <c r="N34" s="3" t="s">
        <v>18</v>
      </c>
      <c r="O34" s="3"/>
      <c r="P34" s="3"/>
      <c r="Q34" s="3">
        <v>75.605999999999995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115</v>
      </c>
      <c r="D35" s="3"/>
      <c r="E35" s="3" t="s">
        <v>115</v>
      </c>
      <c r="F35" s="3"/>
      <c r="G35" s="3"/>
      <c r="H35" s="3"/>
      <c r="I35" s="3"/>
      <c r="J35" s="3"/>
      <c r="K35" s="3"/>
      <c r="L35" s="3" t="s">
        <v>90</v>
      </c>
      <c r="M35" s="3">
        <v>70</v>
      </c>
      <c r="N35" s="3" t="s">
        <v>113</v>
      </c>
      <c r="O35" s="3"/>
      <c r="P35" s="3"/>
      <c r="Q35" s="3">
        <v>4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115</v>
      </c>
      <c r="D36" s="3"/>
      <c r="E36" s="3" t="s">
        <v>115</v>
      </c>
      <c r="F36" s="3"/>
      <c r="G36" s="3"/>
      <c r="H36" s="3"/>
      <c r="I36" s="3"/>
      <c r="J36" s="3"/>
      <c r="K36" s="3"/>
      <c r="L36" s="3" t="s">
        <v>90</v>
      </c>
      <c r="M36" s="3">
        <v>80</v>
      </c>
      <c r="N36" s="3" t="s">
        <v>21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115</v>
      </c>
      <c r="D37" s="3"/>
      <c r="E37" s="3" t="s">
        <v>115</v>
      </c>
      <c r="F37" s="3"/>
      <c r="G37" s="3"/>
      <c r="H37" s="3"/>
      <c r="I37" s="3"/>
      <c r="J37" s="3"/>
      <c r="K37" s="3"/>
      <c r="L37" s="3" t="s">
        <v>90</v>
      </c>
      <c r="M37" s="3">
        <v>90</v>
      </c>
      <c r="N37" s="3" t="s">
        <v>22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115</v>
      </c>
      <c r="D38" s="3"/>
      <c r="E38" s="3" t="s">
        <v>115</v>
      </c>
      <c r="F38" s="3"/>
      <c r="G38" s="3"/>
      <c r="H38" s="3"/>
      <c r="I38" s="3"/>
      <c r="J38" s="3"/>
      <c r="K38" s="3"/>
      <c r="L38" s="3" t="s">
        <v>90</v>
      </c>
      <c r="M38" s="3">
        <v>100</v>
      </c>
      <c r="N38" s="3" t="s">
        <v>23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115</v>
      </c>
      <c r="D39" s="3"/>
      <c r="E39" s="3" t="s">
        <v>115</v>
      </c>
      <c r="F39" s="3"/>
      <c r="G39" s="3"/>
      <c r="H39" s="3"/>
      <c r="I39" s="3"/>
      <c r="J39" s="3"/>
      <c r="K39" s="3"/>
      <c r="L39" s="3" t="s">
        <v>90</v>
      </c>
      <c r="M39" s="3">
        <v>110</v>
      </c>
      <c r="N39" s="3" t="s">
        <v>111</v>
      </c>
      <c r="O39" s="3"/>
      <c r="P39" s="3"/>
      <c r="Q39" s="3">
        <v>0.74299999999999999</v>
      </c>
      <c r="R39" s="3" t="s">
        <v>13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115</v>
      </c>
      <c r="D40" s="3"/>
      <c r="E40" s="3" t="s">
        <v>115</v>
      </c>
      <c r="F40" s="3"/>
      <c r="G40" s="3"/>
      <c r="H40" s="3"/>
      <c r="I40" s="3"/>
      <c r="J40" s="3"/>
      <c r="K40" s="3"/>
      <c r="L40" s="3" t="s">
        <v>90</v>
      </c>
      <c r="M40" s="3">
        <v>120</v>
      </c>
      <c r="N40" s="3" t="s">
        <v>155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89</v>
      </c>
      <c r="C41" s="3" t="s">
        <v>116</v>
      </c>
      <c r="D41" s="3"/>
      <c r="E41" s="3" t="s">
        <v>116</v>
      </c>
      <c r="F41" s="3"/>
      <c r="G41" s="3"/>
      <c r="H41" s="3"/>
      <c r="I41" s="3"/>
      <c r="J41" s="3"/>
      <c r="K41" s="3"/>
      <c r="L41" s="3" t="s">
        <v>90</v>
      </c>
      <c r="M41" s="3">
        <v>10</v>
      </c>
      <c r="N41" s="3" t="s">
        <v>266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89</v>
      </c>
      <c r="C42" s="3" t="s">
        <v>116</v>
      </c>
      <c r="D42" s="3"/>
      <c r="E42" s="3" t="s">
        <v>116</v>
      </c>
      <c r="F42" s="3"/>
      <c r="G42" s="3"/>
      <c r="H42" s="3"/>
      <c r="I42" s="3"/>
      <c r="J42" s="3"/>
      <c r="K42" s="3"/>
      <c r="L42" s="3" t="s">
        <v>90</v>
      </c>
      <c r="M42" s="3">
        <v>20</v>
      </c>
      <c r="N42" s="3" t="s">
        <v>109</v>
      </c>
      <c r="O42" s="3"/>
      <c r="P42" s="3"/>
      <c r="Q42" s="3">
        <v>1.321</v>
      </c>
      <c r="R42" s="3" t="s">
        <v>15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89</v>
      </c>
      <c r="C43" s="3" t="s">
        <v>116</v>
      </c>
      <c r="D43" s="3"/>
      <c r="E43" s="3" t="s">
        <v>116</v>
      </c>
      <c r="F43" s="3"/>
      <c r="G43" s="3"/>
      <c r="H43" s="3"/>
      <c r="I43" s="3"/>
      <c r="J43" s="3"/>
      <c r="K43" s="3"/>
      <c r="L43" s="3" t="s">
        <v>90</v>
      </c>
      <c r="M43" s="3">
        <v>30</v>
      </c>
      <c r="N43" s="3" t="s">
        <v>110</v>
      </c>
      <c r="O43" s="3"/>
      <c r="P43" s="3"/>
      <c r="Q43" s="3">
        <v>1.321</v>
      </c>
      <c r="R43" s="3" t="s">
        <v>15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116</v>
      </c>
      <c r="D44" s="3"/>
      <c r="E44" s="3" t="s">
        <v>116</v>
      </c>
      <c r="F44" s="3"/>
      <c r="G44" s="3"/>
      <c r="H44" s="3"/>
      <c r="I44" s="3"/>
      <c r="J44" s="3"/>
      <c r="K44" s="3"/>
      <c r="L44" s="3" t="s">
        <v>90</v>
      </c>
      <c r="M44" s="3">
        <v>40</v>
      </c>
      <c r="N44" s="3" t="s">
        <v>105</v>
      </c>
      <c r="O44" s="3"/>
      <c r="P44" s="3"/>
      <c r="Q44" s="3">
        <v>0.35899999999999999</v>
      </c>
      <c r="R44" s="3" t="s">
        <v>106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116</v>
      </c>
      <c r="D45" s="3"/>
      <c r="E45" s="3" t="s">
        <v>116</v>
      </c>
      <c r="F45" s="3"/>
      <c r="G45" s="3"/>
      <c r="H45" s="3"/>
      <c r="I45" s="3"/>
      <c r="J45" s="3"/>
      <c r="K45" s="3"/>
      <c r="L45" s="3" t="s">
        <v>90</v>
      </c>
      <c r="M45" s="3">
        <v>50</v>
      </c>
      <c r="N45" s="3" t="s">
        <v>107</v>
      </c>
      <c r="O45" s="3"/>
      <c r="P45" s="3"/>
      <c r="Q45" s="3">
        <v>12.903</v>
      </c>
      <c r="R45" s="3" t="s">
        <v>15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116</v>
      </c>
      <c r="D46" s="3"/>
      <c r="E46" s="3" t="s">
        <v>116</v>
      </c>
      <c r="F46" s="3"/>
      <c r="G46" s="3"/>
      <c r="H46" s="3"/>
      <c r="I46" s="3"/>
      <c r="J46" s="3"/>
      <c r="K46" s="3"/>
      <c r="L46" s="3" t="s">
        <v>90</v>
      </c>
      <c r="M46" s="3">
        <v>60</v>
      </c>
      <c r="N46" s="3" t="s">
        <v>18</v>
      </c>
      <c r="O46" s="3"/>
      <c r="P46" s="3"/>
      <c r="Q46" s="3">
        <v>79.355000000000004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116</v>
      </c>
      <c r="D47" s="3"/>
      <c r="E47" s="3" t="s">
        <v>116</v>
      </c>
      <c r="F47" s="3"/>
      <c r="G47" s="3"/>
      <c r="H47" s="3"/>
      <c r="I47" s="3"/>
      <c r="J47" s="3"/>
      <c r="K47" s="3"/>
      <c r="L47" s="3" t="s">
        <v>90</v>
      </c>
      <c r="M47" s="3">
        <v>70</v>
      </c>
      <c r="N47" s="3" t="s">
        <v>113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116</v>
      </c>
      <c r="D48" s="3"/>
      <c r="E48" s="3" t="s">
        <v>116</v>
      </c>
      <c r="F48" s="3"/>
      <c r="G48" s="3"/>
      <c r="H48" s="3"/>
      <c r="I48" s="3"/>
      <c r="J48" s="3"/>
      <c r="K48" s="3"/>
      <c r="L48" s="3" t="s">
        <v>90</v>
      </c>
      <c r="M48" s="3">
        <v>80</v>
      </c>
      <c r="N48" s="3" t="s">
        <v>21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116</v>
      </c>
      <c r="D49" s="3"/>
      <c r="E49" s="3" t="s">
        <v>116</v>
      </c>
      <c r="F49" s="3"/>
      <c r="G49" s="3"/>
      <c r="H49" s="3"/>
      <c r="I49" s="3"/>
      <c r="J49" s="3"/>
      <c r="K49" s="3"/>
      <c r="L49" s="3" t="s">
        <v>90</v>
      </c>
      <c r="M49" s="3">
        <v>90</v>
      </c>
      <c r="N49" s="3" t="s">
        <v>22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116</v>
      </c>
      <c r="D50" s="3"/>
      <c r="E50" s="3" t="s">
        <v>116</v>
      </c>
      <c r="F50" s="3"/>
      <c r="G50" s="3"/>
      <c r="H50" s="3"/>
      <c r="I50" s="3"/>
      <c r="J50" s="3"/>
      <c r="K50" s="3"/>
      <c r="L50" s="3" t="s">
        <v>90</v>
      </c>
      <c r="M50" s="3">
        <v>100</v>
      </c>
      <c r="N50" s="3" t="s">
        <v>23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116</v>
      </c>
      <c r="D51" s="3"/>
      <c r="E51" s="3" t="s">
        <v>116</v>
      </c>
      <c r="F51" s="3"/>
      <c r="G51" s="3"/>
      <c r="H51" s="3"/>
      <c r="I51" s="3"/>
      <c r="J51" s="3"/>
      <c r="K51" s="3"/>
      <c r="L51" s="3" t="s">
        <v>90</v>
      </c>
      <c r="M51" s="3">
        <v>110</v>
      </c>
      <c r="N51" s="3" t="s">
        <v>111</v>
      </c>
      <c r="O51" s="3"/>
      <c r="P51" s="3"/>
      <c r="Q51" s="3">
        <v>0.82399999999999995</v>
      </c>
      <c r="R51" s="3" t="s">
        <v>13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116</v>
      </c>
      <c r="D52" s="3"/>
      <c r="E52" s="3" t="s">
        <v>116</v>
      </c>
      <c r="F52" s="3"/>
      <c r="G52" s="3"/>
      <c r="H52" s="3"/>
      <c r="I52" s="3"/>
      <c r="J52" s="3"/>
      <c r="K52" s="3"/>
      <c r="L52" s="3" t="s">
        <v>90</v>
      </c>
      <c r="M52" s="3">
        <v>120</v>
      </c>
      <c r="N52" s="3" t="s">
        <v>156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89</v>
      </c>
      <c r="C53" s="3" t="s">
        <v>117</v>
      </c>
      <c r="D53" s="3"/>
      <c r="E53" s="3" t="s">
        <v>117</v>
      </c>
      <c r="F53" s="3"/>
      <c r="G53" s="3"/>
      <c r="H53" s="3"/>
      <c r="I53" s="3"/>
      <c r="J53" s="3"/>
      <c r="K53" s="3"/>
      <c r="L53" s="3" t="s">
        <v>90</v>
      </c>
      <c r="M53" s="3">
        <v>10</v>
      </c>
      <c r="N53" s="3" t="s">
        <v>267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89</v>
      </c>
      <c r="C54" s="3" t="s">
        <v>117</v>
      </c>
      <c r="D54" s="3"/>
      <c r="E54" s="3" t="s">
        <v>117</v>
      </c>
      <c r="F54" s="3"/>
      <c r="G54" s="3"/>
      <c r="H54" s="3"/>
      <c r="I54" s="3"/>
      <c r="J54" s="3"/>
      <c r="K54" s="3"/>
      <c r="L54" s="3" t="s">
        <v>90</v>
      </c>
      <c r="M54" s="3">
        <v>20</v>
      </c>
      <c r="N54" s="3" t="s">
        <v>109</v>
      </c>
      <c r="O54" s="3"/>
      <c r="P54" s="3"/>
      <c r="Q54" s="3">
        <v>1.397</v>
      </c>
      <c r="R54" s="3" t="s">
        <v>15</v>
      </c>
      <c r="S54" s="3"/>
      <c r="T54" s="3">
        <v>10</v>
      </c>
      <c r="U54" s="3"/>
      <c r="V54" s="3" t="s">
        <v>16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89</v>
      </c>
      <c r="C55" s="3" t="s">
        <v>117</v>
      </c>
      <c r="D55" s="3"/>
      <c r="E55" s="3" t="s">
        <v>117</v>
      </c>
      <c r="F55" s="3"/>
      <c r="G55" s="3"/>
      <c r="H55" s="3"/>
      <c r="I55" s="3"/>
      <c r="J55" s="3"/>
      <c r="K55" s="3"/>
      <c r="L55" s="3" t="s">
        <v>90</v>
      </c>
      <c r="M55" s="3">
        <v>30</v>
      </c>
      <c r="N55" s="3" t="s">
        <v>110</v>
      </c>
      <c r="O55" s="3"/>
      <c r="P55" s="3"/>
      <c r="Q55" s="3">
        <v>1.397</v>
      </c>
      <c r="R55" s="3" t="s">
        <v>15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89</v>
      </c>
      <c r="C56" s="3" t="s">
        <v>117</v>
      </c>
      <c r="D56" s="3"/>
      <c r="E56" s="3" t="s">
        <v>117</v>
      </c>
      <c r="F56" s="3"/>
      <c r="G56" s="3"/>
      <c r="H56" s="3"/>
      <c r="I56" s="3"/>
      <c r="J56" s="3"/>
      <c r="K56" s="3"/>
      <c r="L56" s="3" t="s">
        <v>90</v>
      </c>
      <c r="M56" s="3">
        <v>40</v>
      </c>
      <c r="N56" s="3" t="s">
        <v>105</v>
      </c>
      <c r="O56" s="3"/>
      <c r="P56" s="3"/>
      <c r="Q56" s="3">
        <v>0.38100000000000001</v>
      </c>
      <c r="R56" s="3" t="s">
        <v>106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117</v>
      </c>
      <c r="D57" s="3"/>
      <c r="E57" s="3" t="s">
        <v>117</v>
      </c>
      <c r="F57" s="3"/>
      <c r="G57" s="3"/>
      <c r="H57" s="3"/>
      <c r="I57" s="3"/>
      <c r="J57" s="3"/>
      <c r="K57" s="3"/>
      <c r="L57" s="3" t="s">
        <v>90</v>
      </c>
      <c r="M57" s="3">
        <v>50</v>
      </c>
      <c r="N57" s="3" t="s">
        <v>107</v>
      </c>
      <c r="O57" s="3"/>
      <c r="P57" s="3"/>
      <c r="Q57" s="3">
        <v>13.208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117</v>
      </c>
      <c r="D58" s="3"/>
      <c r="E58" s="3" t="s">
        <v>117</v>
      </c>
      <c r="F58" s="3"/>
      <c r="G58" s="3"/>
      <c r="H58" s="3"/>
      <c r="I58" s="3"/>
      <c r="J58" s="3"/>
      <c r="K58" s="3"/>
      <c r="L58" s="3" t="s">
        <v>90</v>
      </c>
      <c r="M58" s="3">
        <v>60</v>
      </c>
      <c r="N58" s="3" t="s">
        <v>18</v>
      </c>
      <c r="O58" s="3"/>
      <c r="P58" s="3"/>
      <c r="Q58" s="3">
        <v>81.228999999999999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117</v>
      </c>
      <c r="D59" s="3"/>
      <c r="E59" s="3" t="s">
        <v>117</v>
      </c>
      <c r="F59" s="3"/>
      <c r="G59" s="3"/>
      <c r="H59" s="3"/>
      <c r="I59" s="3"/>
      <c r="J59" s="3"/>
      <c r="K59" s="3"/>
      <c r="L59" s="3" t="s">
        <v>90</v>
      </c>
      <c r="M59" s="3">
        <v>70</v>
      </c>
      <c r="N59" s="3" t="s">
        <v>113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117</v>
      </c>
      <c r="D60" s="3"/>
      <c r="E60" s="3" t="s">
        <v>117</v>
      </c>
      <c r="F60" s="3"/>
      <c r="G60" s="3"/>
      <c r="H60" s="3"/>
      <c r="I60" s="3"/>
      <c r="J60" s="3"/>
      <c r="K60" s="3"/>
      <c r="L60" s="3" t="s">
        <v>90</v>
      </c>
      <c r="M60" s="3">
        <v>80</v>
      </c>
      <c r="N60" s="3" t="s">
        <v>21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117</v>
      </c>
      <c r="D61" s="3"/>
      <c r="E61" s="3" t="s">
        <v>117</v>
      </c>
      <c r="F61" s="3"/>
      <c r="G61" s="3"/>
      <c r="H61" s="3"/>
      <c r="I61" s="3"/>
      <c r="J61" s="3"/>
      <c r="K61" s="3"/>
      <c r="L61" s="3" t="s">
        <v>90</v>
      </c>
      <c r="M61" s="3">
        <v>90</v>
      </c>
      <c r="N61" s="3" t="s">
        <v>22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117</v>
      </c>
      <c r="D62" s="3"/>
      <c r="E62" s="3" t="s">
        <v>117</v>
      </c>
      <c r="F62" s="3"/>
      <c r="G62" s="3"/>
      <c r="H62" s="3"/>
      <c r="I62" s="3"/>
      <c r="J62" s="3"/>
      <c r="K62" s="3"/>
      <c r="L62" s="3" t="s">
        <v>90</v>
      </c>
      <c r="M62" s="3">
        <v>100</v>
      </c>
      <c r="N62" s="3" t="s">
        <v>23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117</v>
      </c>
      <c r="D63" s="3"/>
      <c r="E63" s="3" t="s">
        <v>117</v>
      </c>
      <c r="F63" s="3"/>
      <c r="G63" s="3"/>
      <c r="H63" s="3"/>
      <c r="I63" s="3"/>
      <c r="J63" s="3"/>
      <c r="K63" s="3"/>
      <c r="L63" s="3" t="s">
        <v>90</v>
      </c>
      <c r="M63" s="3">
        <v>110</v>
      </c>
      <c r="N63" s="3" t="s">
        <v>111</v>
      </c>
      <c r="O63" s="3"/>
      <c r="P63" s="3"/>
      <c r="Q63" s="3">
        <v>0.86499999999999999</v>
      </c>
      <c r="R63" s="3" t="s">
        <v>13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117</v>
      </c>
      <c r="D64" s="3"/>
      <c r="E64" s="3" t="s">
        <v>117</v>
      </c>
      <c r="F64" s="3"/>
      <c r="G64" s="3"/>
      <c r="H64" s="3"/>
      <c r="I64" s="3"/>
      <c r="J64" s="3"/>
      <c r="K64" s="3"/>
      <c r="L64" s="3" t="s">
        <v>90</v>
      </c>
      <c r="M64" s="3">
        <v>120</v>
      </c>
      <c r="N64" s="3" t="s">
        <v>157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89</v>
      </c>
      <c r="C65" s="3" t="s">
        <v>118</v>
      </c>
      <c r="D65" s="3"/>
      <c r="E65" s="3" t="s">
        <v>118</v>
      </c>
      <c r="F65" s="3"/>
      <c r="G65" s="3"/>
      <c r="H65" s="3"/>
      <c r="I65" s="3"/>
      <c r="J65" s="3"/>
      <c r="K65" s="3"/>
      <c r="L65" s="3" t="s">
        <v>90</v>
      </c>
      <c r="M65" s="3">
        <v>10</v>
      </c>
      <c r="N65" s="3" t="s">
        <v>268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89</v>
      </c>
      <c r="C66" s="3" t="s">
        <v>118</v>
      </c>
      <c r="D66" s="3"/>
      <c r="E66" s="3" t="s">
        <v>118</v>
      </c>
      <c r="F66" s="3"/>
      <c r="G66" s="3"/>
      <c r="H66" s="3"/>
      <c r="I66" s="3"/>
      <c r="J66" s="3"/>
      <c r="K66" s="3"/>
      <c r="L66" s="3" t="s">
        <v>90</v>
      </c>
      <c r="M66" s="3">
        <v>20</v>
      </c>
      <c r="N66" s="3" t="s">
        <v>109</v>
      </c>
      <c r="O66" s="3"/>
      <c r="P66" s="3"/>
      <c r="Q66" s="3">
        <v>1.4730000000000001</v>
      </c>
      <c r="R66" s="3" t="s">
        <v>15</v>
      </c>
      <c r="S66" s="3"/>
      <c r="T66" s="3">
        <v>10</v>
      </c>
      <c r="U66" s="3"/>
      <c r="V66" s="3" t="s">
        <v>16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89</v>
      </c>
      <c r="C67" s="3" t="s">
        <v>118</v>
      </c>
      <c r="D67" s="3"/>
      <c r="E67" s="3" t="s">
        <v>118</v>
      </c>
      <c r="F67" s="3"/>
      <c r="G67" s="3"/>
      <c r="H67" s="3"/>
      <c r="I67" s="3"/>
      <c r="J67" s="3"/>
      <c r="K67" s="3"/>
      <c r="L67" s="3" t="s">
        <v>90</v>
      </c>
      <c r="M67" s="3">
        <v>30</v>
      </c>
      <c r="N67" s="3" t="s">
        <v>110</v>
      </c>
      <c r="O67" s="3"/>
      <c r="P67" s="3"/>
      <c r="Q67" s="3">
        <v>1.4730000000000001</v>
      </c>
      <c r="R67" s="3" t="s">
        <v>15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89</v>
      </c>
      <c r="C68" s="3" t="s">
        <v>118</v>
      </c>
      <c r="D68" s="3"/>
      <c r="E68" s="3" t="s">
        <v>118</v>
      </c>
      <c r="F68" s="3"/>
      <c r="G68" s="3"/>
      <c r="H68" s="3"/>
      <c r="I68" s="3"/>
      <c r="J68" s="3"/>
      <c r="K68" s="3"/>
      <c r="L68" s="3" t="s">
        <v>90</v>
      </c>
      <c r="M68" s="3">
        <v>40</v>
      </c>
      <c r="N68" s="3" t="s">
        <v>105</v>
      </c>
      <c r="O68" s="3"/>
      <c r="P68" s="3"/>
      <c r="Q68" s="3">
        <v>0.40300000000000002</v>
      </c>
      <c r="R68" s="3" t="s">
        <v>106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89</v>
      </c>
      <c r="C69" s="3" t="s">
        <v>118</v>
      </c>
      <c r="D69" s="3"/>
      <c r="E69" s="3" t="s">
        <v>118</v>
      </c>
      <c r="F69" s="3"/>
      <c r="G69" s="3"/>
      <c r="H69" s="3"/>
      <c r="I69" s="3"/>
      <c r="J69" s="3"/>
      <c r="K69" s="3"/>
      <c r="L69" s="3" t="s">
        <v>90</v>
      </c>
      <c r="M69" s="3">
        <v>50</v>
      </c>
      <c r="N69" s="3" t="s">
        <v>107</v>
      </c>
      <c r="O69" s="3"/>
      <c r="P69" s="3"/>
      <c r="Q69" s="3">
        <v>13.513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118</v>
      </c>
      <c r="D70" s="3"/>
      <c r="E70" s="3" t="s">
        <v>118</v>
      </c>
      <c r="F70" s="3"/>
      <c r="G70" s="3"/>
      <c r="H70" s="3"/>
      <c r="I70" s="3"/>
      <c r="J70" s="3"/>
      <c r="K70" s="3"/>
      <c r="L70" s="3" t="s">
        <v>90</v>
      </c>
      <c r="M70" s="3">
        <v>60</v>
      </c>
      <c r="N70" s="3" t="s">
        <v>18</v>
      </c>
      <c r="O70" s="3"/>
      <c r="P70" s="3"/>
      <c r="Q70" s="3">
        <v>83.103999999999999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118</v>
      </c>
      <c r="D71" s="3"/>
      <c r="E71" s="3" t="s">
        <v>118</v>
      </c>
      <c r="F71" s="3"/>
      <c r="G71" s="3"/>
      <c r="H71" s="3"/>
      <c r="I71" s="3"/>
      <c r="J71" s="3"/>
      <c r="K71" s="3"/>
      <c r="L71" s="3" t="s">
        <v>90</v>
      </c>
      <c r="M71" s="3">
        <v>70</v>
      </c>
      <c r="N71" s="3" t="s">
        <v>113</v>
      </c>
      <c r="O71" s="3"/>
      <c r="P71" s="3"/>
      <c r="Q71" s="3">
        <v>4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118</v>
      </c>
      <c r="D72" s="3"/>
      <c r="E72" s="3" t="s">
        <v>118</v>
      </c>
      <c r="F72" s="3"/>
      <c r="G72" s="3"/>
      <c r="H72" s="3"/>
      <c r="I72" s="3"/>
      <c r="J72" s="3"/>
      <c r="K72" s="3"/>
      <c r="L72" s="3" t="s">
        <v>90</v>
      </c>
      <c r="M72" s="3">
        <v>80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118</v>
      </c>
      <c r="D73" s="3"/>
      <c r="E73" s="3" t="s">
        <v>118</v>
      </c>
      <c r="F73" s="3"/>
      <c r="G73" s="3"/>
      <c r="H73" s="3"/>
      <c r="I73" s="3"/>
      <c r="J73" s="3"/>
      <c r="K73" s="3"/>
      <c r="L73" s="3" t="s">
        <v>90</v>
      </c>
      <c r="M73" s="3">
        <v>90</v>
      </c>
      <c r="N73" s="3" t="s">
        <v>22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118</v>
      </c>
      <c r="D74" s="3"/>
      <c r="E74" s="3" t="s">
        <v>118</v>
      </c>
      <c r="F74" s="3"/>
      <c r="G74" s="3"/>
      <c r="H74" s="3"/>
      <c r="I74" s="3"/>
      <c r="J74" s="3"/>
      <c r="K74" s="3"/>
      <c r="L74" s="3" t="s">
        <v>90</v>
      </c>
      <c r="M74" s="3">
        <v>100</v>
      </c>
      <c r="N74" s="3" t="s">
        <v>23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118</v>
      </c>
      <c r="D75" s="3"/>
      <c r="E75" s="3" t="s">
        <v>118</v>
      </c>
      <c r="F75" s="3"/>
      <c r="G75" s="3"/>
      <c r="H75" s="3"/>
      <c r="I75" s="3"/>
      <c r="J75" s="3"/>
      <c r="K75" s="3"/>
      <c r="L75" s="3" t="s">
        <v>90</v>
      </c>
      <c r="M75" s="3">
        <v>110</v>
      </c>
      <c r="N75" s="3" t="s">
        <v>111</v>
      </c>
      <c r="O75" s="3"/>
      <c r="P75" s="3"/>
      <c r="Q75" s="3">
        <v>0.90500000000000003</v>
      </c>
      <c r="R75" s="3" t="s">
        <v>13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118</v>
      </c>
      <c r="D76" s="3"/>
      <c r="E76" s="3" t="s">
        <v>118</v>
      </c>
      <c r="F76" s="3"/>
      <c r="G76" s="3"/>
      <c r="H76" s="3"/>
      <c r="I76" s="3"/>
      <c r="J76" s="3"/>
      <c r="K76" s="3"/>
      <c r="L76" s="3" t="s">
        <v>90</v>
      </c>
      <c r="M76" s="3">
        <v>120</v>
      </c>
      <c r="N76" s="3" t="s">
        <v>158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89</v>
      </c>
      <c r="C77" s="3" t="s">
        <v>119</v>
      </c>
      <c r="D77" s="3"/>
      <c r="E77" s="3" t="s">
        <v>119</v>
      </c>
      <c r="F77" s="3"/>
      <c r="G77" s="3"/>
      <c r="H77" s="3"/>
      <c r="I77" s="3"/>
      <c r="J77" s="3"/>
      <c r="K77" s="3"/>
      <c r="L77" s="3" t="s">
        <v>90</v>
      </c>
      <c r="M77" s="3">
        <v>10</v>
      </c>
      <c r="N77" s="3" t="s">
        <v>269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89</v>
      </c>
      <c r="C78" s="3" t="s">
        <v>119</v>
      </c>
      <c r="D78" s="3"/>
      <c r="E78" s="3" t="s">
        <v>119</v>
      </c>
      <c r="F78" s="3"/>
      <c r="G78" s="3"/>
      <c r="H78" s="3"/>
      <c r="I78" s="3"/>
      <c r="J78" s="3"/>
      <c r="K78" s="3"/>
      <c r="L78" s="3" t="s">
        <v>90</v>
      </c>
      <c r="M78" s="3">
        <v>20</v>
      </c>
      <c r="N78" s="3" t="s">
        <v>109</v>
      </c>
      <c r="O78" s="3"/>
      <c r="P78" s="3"/>
      <c r="Q78" s="3">
        <v>1.6259999999999999</v>
      </c>
      <c r="R78" s="3" t="s">
        <v>15</v>
      </c>
      <c r="S78" s="3"/>
      <c r="T78" s="3">
        <v>10</v>
      </c>
      <c r="U78" s="3"/>
      <c r="V78" s="3" t="s">
        <v>16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89</v>
      </c>
      <c r="C79" s="3" t="s">
        <v>119</v>
      </c>
      <c r="D79" s="3"/>
      <c r="E79" s="3" t="s">
        <v>119</v>
      </c>
      <c r="F79" s="3"/>
      <c r="G79" s="3"/>
      <c r="H79" s="3"/>
      <c r="I79" s="3"/>
      <c r="J79" s="3"/>
      <c r="K79" s="3"/>
      <c r="L79" s="3" t="s">
        <v>90</v>
      </c>
      <c r="M79" s="3">
        <v>30</v>
      </c>
      <c r="N79" s="3" t="s">
        <v>110</v>
      </c>
      <c r="O79" s="3"/>
      <c r="P79" s="3"/>
      <c r="Q79" s="3">
        <v>1.6259999999999999</v>
      </c>
      <c r="R79" s="3" t="s">
        <v>15</v>
      </c>
      <c r="S79" s="3"/>
      <c r="T79" s="3">
        <v>10</v>
      </c>
      <c r="U79" s="3"/>
      <c r="V79" s="3" t="s">
        <v>16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89</v>
      </c>
      <c r="C80" s="3" t="s">
        <v>119</v>
      </c>
      <c r="D80" s="3"/>
      <c r="E80" s="3" t="s">
        <v>119</v>
      </c>
      <c r="F80" s="3"/>
      <c r="G80" s="3"/>
      <c r="H80" s="3"/>
      <c r="I80" s="3"/>
      <c r="J80" s="3"/>
      <c r="K80" s="3"/>
      <c r="L80" s="3" t="s">
        <v>90</v>
      </c>
      <c r="M80" s="3">
        <v>40</v>
      </c>
      <c r="N80" s="3" t="s">
        <v>105</v>
      </c>
      <c r="O80" s="3"/>
      <c r="P80" s="3"/>
      <c r="Q80" s="3">
        <v>0.44600000000000001</v>
      </c>
      <c r="R80" s="3" t="s">
        <v>106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89</v>
      </c>
      <c r="C81" s="3" t="s">
        <v>119</v>
      </c>
      <c r="D81" s="3"/>
      <c r="E81" s="3" t="s">
        <v>119</v>
      </c>
      <c r="F81" s="3"/>
      <c r="G81" s="3"/>
      <c r="H81" s="3"/>
      <c r="I81" s="3"/>
      <c r="J81" s="3"/>
      <c r="K81" s="3"/>
      <c r="L81" s="3" t="s">
        <v>90</v>
      </c>
      <c r="M81" s="3">
        <v>50</v>
      </c>
      <c r="N81" s="3" t="s">
        <v>107</v>
      </c>
      <c r="O81" s="3"/>
      <c r="P81" s="3"/>
      <c r="Q81" s="3">
        <v>14.122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89</v>
      </c>
      <c r="C82" s="3" t="s">
        <v>119</v>
      </c>
      <c r="D82" s="3"/>
      <c r="E82" s="3" t="s">
        <v>119</v>
      </c>
      <c r="F82" s="3"/>
      <c r="G82" s="3"/>
      <c r="H82" s="3"/>
      <c r="I82" s="3"/>
      <c r="J82" s="3"/>
      <c r="K82" s="3"/>
      <c r="L82" s="3" t="s">
        <v>90</v>
      </c>
      <c r="M82" s="3">
        <v>60</v>
      </c>
      <c r="N82" s="3" t="s">
        <v>18</v>
      </c>
      <c r="O82" s="3"/>
      <c r="P82" s="3"/>
      <c r="Q82" s="3">
        <v>86.852999999999994</v>
      </c>
      <c r="R82" s="3" t="s">
        <v>15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119</v>
      </c>
      <c r="D83" s="3"/>
      <c r="E83" s="3" t="s">
        <v>119</v>
      </c>
      <c r="F83" s="3"/>
      <c r="G83" s="3"/>
      <c r="H83" s="3"/>
      <c r="I83" s="3"/>
      <c r="J83" s="3"/>
      <c r="K83" s="3"/>
      <c r="L83" s="3" t="s">
        <v>90</v>
      </c>
      <c r="M83" s="3">
        <v>70</v>
      </c>
      <c r="N83" s="3" t="s">
        <v>113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119</v>
      </c>
      <c r="D84" s="3"/>
      <c r="E84" s="3" t="s">
        <v>119</v>
      </c>
      <c r="F84" s="3"/>
      <c r="G84" s="3"/>
      <c r="H84" s="3"/>
      <c r="I84" s="3"/>
      <c r="J84" s="3"/>
      <c r="K84" s="3"/>
      <c r="L84" s="3" t="s">
        <v>90</v>
      </c>
      <c r="M84" s="3">
        <v>80</v>
      </c>
      <c r="N84" s="3" t="s">
        <v>21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119</v>
      </c>
      <c r="D85" s="3"/>
      <c r="E85" s="3" t="s">
        <v>119</v>
      </c>
      <c r="F85" s="3"/>
      <c r="G85" s="3"/>
      <c r="H85" s="3"/>
      <c r="I85" s="3"/>
      <c r="J85" s="3"/>
      <c r="K85" s="3"/>
      <c r="L85" s="3" t="s">
        <v>90</v>
      </c>
      <c r="M85" s="3">
        <v>90</v>
      </c>
      <c r="N85" s="3" t="s">
        <v>22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119</v>
      </c>
      <c r="D86" s="3"/>
      <c r="E86" s="3" t="s">
        <v>119</v>
      </c>
      <c r="F86" s="3"/>
      <c r="G86" s="3"/>
      <c r="H86" s="3"/>
      <c r="I86" s="3"/>
      <c r="J86" s="3"/>
      <c r="K86" s="3"/>
      <c r="L86" s="3" t="s">
        <v>90</v>
      </c>
      <c r="M86" s="3">
        <v>100</v>
      </c>
      <c r="N86" s="3" t="s">
        <v>23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119</v>
      </c>
      <c r="D87" s="3"/>
      <c r="E87" s="3" t="s">
        <v>119</v>
      </c>
      <c r="F87" s="3"/>
      <c r="G87" s="3"/>
      <c r="H87" s="3"/>
      <c r="I87" s="3"/>
      <c r="J87" s="3"/>
      <c r="K87" s="3"/>
      <c r="L87" s="3" t="s">
        <v>90</v>
      </c>
      <c r="M87" s="3">
        <v>110</v>
      </c>
      <c r="N87" s="3" t="s">
        <v>111</v>
      </c>
      <c r="O87" s="3"/>
      <c r="P87" s="3"/>
      <c r="Q87" s="3">
        <v>0.98599999999999999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119</v>
      </c>
      <c r="D88" s="3"/>
      <c r="E88" s="3" t="s">
        <v>119</v>
      </c>
      <c r="F88" s="3"/>
      <c r="G88" s="3"/>
      <c r="H88" s="3"/>
      <c r="I88" s="3"/>
      <c r="J88" s="3"/>
      <c r="K88" s="3"/>
      <c r="L88" s="3" t="s">
        <v>90</v>
      </c>
      <c r="M88" s="3">
        <v>120</v>
      </c>
      <c r="N88" s="3" t="s">
        <v>159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89</v>
      </c>
      <c r="C89" s="3" t="s">
        <v>120</v>
      </c>
      <c r="D89" s="3"/>
      <c r="E89" s="3" t="s">
        <v>120</v>
      </c>
      <c r="F89" s="3"/>
      <c r="G89" s="3"/>
      <c r="H89" s="3"/>
      <c r="I89" s="3"/>
      <c r="J89" s="3"/>
      <c r="K89" s="3"/>
      <c r="L89" s="3" t="s">
        <v>90</v>
      </c>
      <c r="M89" s="3">
        <v>10</v>
      </c>
      <c r="N89" s="3" t="s">
        <v>270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89</v>
      </c>
      <c r="C90" s="3" t="s">
        <v>120</v>
      </c>
      <c r="D90" s="3"/>
      <c r="E90" s="3" t="s">
        <v>120</v>
      </c>
      <c r="F90" s="3"/>
      <c r="G90" s="3"/>
      <c r="H90" s="3"/>
      <c r="I90" s="3"/>
      <c r="J90" s="3"/>
      <c r="K90" s="3"/>
      <c r="L90" s="3" t="s">
        <v>90</v>
      </c>
      <c r="M90" s="3">
        <v>20</v>
      </c>
      <c r="N90" s="3" t="s">
        <v>109</v>
      </c>
      <c r="O90" s="3"/>
      <c r="P90" s="3"/>
      <c r="Q90" s="3">
        <v>1.778</v>
      </c>
      <c r="R90" s="3" t="s">
        <v>15</v>
      </c>
      <c r="S90" s="3"/>
      <c r="T90" s="3">
        <v>10</v>
      </c>
      <c r="U90" s="3"/>
      <c r="V90" s="3" t="s">
        <v>16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89</v>
      </c>
      <c r="C91" s="3" t="s">
        <v>120</v>
      </c>
      <c r="D91" s="3"/>
      <c r="E91" s="3" t="s">
        <v>120</v>
      </c>
      <c r="F91" s="3"/>
      <c r="G91" s="3"/>
      <c r="H91" s="3"/>
      <c r="I91" s="3"/>
      <c r="J91" s="3"/>
      <c r="K91" s="3"/>
      <c r="L91" s="3" t="s">
        <v>90</v>
      </c>
      <c r="M91" s="3">
        <v>30</v>
      </c>
      <c r="N91" s="3" t="s">
        <v>110</v>
      </c>
      <c r="O91" s="3"/>
      <c r="P91" s="3"/>
      <c r="Q91" s="3">
        <v>1.778</v>
      </c>
      <c r="R91" s="3" t="s">
        <v>15</v>
      </c>
      <c r="S91" s="3"/>
      <c r="T91" s="3">
        <v>10</v>
      </c>
      <c r="U91" s="3"/>
      <c r="V91" s="3" t="s">
        <v>16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89</v>
      </c>
      <c r="C92" s="3" t="s">
        <v>120</v>
      </c>
      <c r="D92" s="3"/>
      <c r="E92" s="3" t="s">
        <v>120</v>
      </c>
      <c r="F92" s="3"/>
      <c r="G92" s="3"/>
      <c r="H92" s="3"/>
      <c r="I92" s="3"/>
      <c r="J92" s="3"/>
      <c r="K92" s="3"/>
      <c r="L92" s="3" t="s">
        <v>90</v>
      </c>
      <c r="M92" s="3">
        <v>40</v>
      </c>
      <c r="N92" s="3" t="s">
        <v>105</v>
      </c>
      <c r="O92" s="3"/>
      <c r="P92" s="3"/>
      <c r="Q92" s="3">
        <v>0.48899999999999999</v>
      </c>
      <c r="R92" s="3" t="s">
        <v>106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89</v>
      </c>
      <c r="C93" s="3" t="s">
        <v>120</v>
      </c>
      <c r="D93" s="3"/>
      <c r="E93" s="3" t="s">
        <v>120</v>
      </c>
      <c r="F93" s="3"/>
      <c r="G93" s="3"/>
      <c r="H93" s="3"/>
      <c r="I93" s="3"/>
      <c r="J93" s="3"/>
      <c r="K93" s="3"/>
      <c r="L93" s="3" t="s">
        <v>90</v>
      </c>
      <c r="M93" s="3">
        <v>50</v>
      </c>
      <c r="N93" s="3" t="s">
        <v>107</v>
      </c>
      <c r="O93" s="3"/>
      <c r="P93" s="3"/>
      <c r="Q93" s="3">
        <v>14.731999999999999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89</v>
      </c>
      <c r="C94" s="3" t="s">
        <v>120</v>
      </c>
      <c r="D94" s="3"/>
      <c r="E94" s="3" t="s">
        <v>120</v>
      </c>
      <c r="F94" s="3"/>
      <c r="G94" s="3"/>
      <c r="H94" s="3"/>
      <c r="I94" s="3"/>
      <c r="J94" s="3"/>
      <c r="K94" s="3"/>
      <c r="L94" s="3" t="s">
        <v>90</v>
      </c>
      <c r="M94" s="3">
        <v>60</v>
      </c>
      <c r="N94" s="3" t="s">
        <v>18</v>
      </c>
      <c r="O94" s="3"/>
      <c r="P94" s="3"/>
      <c r="Q94" s="3">
        <v>90.602000000000004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89</v>
      </c>
      <c r="C95" s="3" t="s">
        <v>120</v>
      </c>
      <c r="D95" s="3"/>
      <c r="E95" s="3" t="s">
        <v>120</v>
      </c>
      <c r="F95" s="3"/>
      <c r="G95" s="3"/>
      <c r="H95" s="3"/>
      <c r="I95" s="3"/>
      <c r="J95" s="3"/>
      <c r="K95" s="3"/>
      <c r="L95" s="3" t="s">
        <v>90</v>
      </c>
      <c r="M95" s="3">
        <v>70</v>
      </c>
      <c r="N95" s="3" t="s">
        <v>113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120</v>
      </c>
      <c r="D96" s="3"/>
      <c r="E96" s="3" t="s">
        <v>120</v>
      </c>
      <c r="F96" s="3"/>
      <c r="G96" s="3"/>
      <c r="H96" s="3"/>
      <c r="I96" s="3"/>
      <c r="J96" s="3"/>
      <c r="K96" s="3"/>
      <c r="L96" s="3" t="s">
        <v>90</v>
      </c>
      <c r="M96" s="3">
        <v>80</v>
      </c>
      <c r="N96" s="3" t="s">
        <v>21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120</v>
      </c>
      <c r="D97" s="3"/>
      <c r="E97" s="3" t="s">
        <v>120</v>
      </c>
      <c r="F97" s="3"/>
      <c r="G97" s="3"/>
      <c r="H97" s="3"/>
      <c r="I97" s="3"/>
      <c r="J97" s="3"/>
      <c r="K97" s="3"/>
      <c r="L97" s="3" t="s">
        <v>90</v>
      </c>
      <c r="M97" s="3">
        <v>90</v>
      </c>
      <c r="N97" s="3" t="s">
        <v>22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120</v>
      </c>
      <c r="D98" s="3"/>
      <c r="E98" s="3" t="s">
        <v>120</v>
      </c>
      <c r="F98" s="3"/>
      <c r="G98" s="3"/>
      <c r="H98" s="3"/>
      <c r="I98" s="3"/>
      <c r="J98" s="3"/>
      <c r="K98" s="3"/>
      <c r="L98" s="3" t="s">
        <v>90</v>
      </c>
      <c r="M98" s="3">
        <v>100</v>
      </c>
      <c r="N98" s="3" t="s">
        <v>23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120</v>
      </c>
      <c r="D99" s="3"/>
      <c r="E99" s="3" t="s">
        <v>120</v>
      </c>
      <c r="F99" s="3"/>
      <c r="G99" s="3"/>
      <c r="H99" s="3"/>
      <c r="I99" s="3"/>
      <c r="J99" s="3"/>
      <c r="K99" s="3"/>
      <c r="L99" s="3" t="s">
        <v>90</v>
      </c>
      <c r="M99" s="3">
        <v>110</v>
      </c>
      <c r="N99" s="3" t="s">
        <v>111</v>
      </c>
      <c r="O99" s="3"/>
      <c r="P99" s="3"/>
      <c r="Q99" s="3">
        <v>1.0669999999999999</v>
      </c>
      <c r="R99" s="3" t="s">
        <v>13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120</v>
      </c>
      <c r="D100" s="3"/>
      <c r="E100" s="3" t="s">
        <v>120</v>
      </c>
      <c r="F100" s="3"/>
      <c r="G100" s="3"/>
      <c r="H100" s="3"/>
      <c r="I100" s="3"/>
      <c r="J100" s="3"/>
      <c r="K100" s="3"/>
      <c r="L100" s="3" t="s">
        <v>90</v>
      </c>
      <c r="M100" s="3">
        <v>120</v>
      </c>
      <c r="N100" s="3" t="s">
        <v>160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89</v>
      </c>
      <c r="C101" s="3" t="s">
        <v>121</v>
      </c>
      <c r="D101" s="3"/>
      <c r="E101" s="3" t="s">
        <v>121</v>
      </c>
      <c r="F101" s="3"/>
      <c r="G101" s="3"/>
      <c r="H101" s="3"/>
      <c r="I101" s="3"/>
      <c r="J101" s="3"/>
      <c r="K101" s="3"/>
      <c r="L101" s="3" t="s">
        <v>90</v>
      </c>
      <c r="M101" s="3">
        <v>10</v>
      </c>
      <c r="N101" s="3" t="s">
        <v>271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89</v>
      </c>
      <c r="C102" s="3" t="s">
        <v>121</v>
      </c>
      <c r="D102" s="3"/>
      <c r="E102" s="3" t="s">
        <v>121</v>
      </c>
      <c r="F102" s="3"/>
      <c r="G102" s="3"/>
      <c r="H102" s="3"/>
      <c r="I102" s="3"/>
      <c r="J102" s="3"/>
      <c r="K102" s="3"/>
      <c r="L102" s="3" t="s">
        <v>90</v>
      </c>
      <c r="M102" s="3">
        <v>20</v>
      </c>
      <c r="N102" s="3" t="s">
        <v>109</v>
      </c>
      <c r="O102" s="3"/>
      <c r="P102" s="3"/>
      <c r="Q102" s="3">
        <v>0.86399999999999999</v>
      </c>
      <c r="R102" s="3" t="s">
        <v>15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89</v>
      </c>
      <c r="C103" s="3" t="s">
        <v>121</v>
      </c>
      <c r="D103" s="3"/>
      <c r="E103" s="3" t="s">
        <v>121</v>
      </c>
      <c r="F103" s="3"/>
      <c r="G103" s="3"/>
      <c r="H103" s="3"/>
      <c r="I103" s="3"/>
      <c r="J103" s="3"/>
      <c r="K103" s="3"/>
      <c r="L103" s="3" t="s">
        <v>90</v>
      </c>
      <c r="M103" s="3">
        <v>30</v>
      </c>
      <c r="N103" s="3" t="s">
        <v>110</v>
      </c>
      <c r="O103" s="3"/>
      <c r="P103" s="3"/>
      <c r="Q103" s="3">
        <v>0.86399999999999999</v>
      </c>
      <c r="R103" s="3" t="s">
        <v>15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89</v>
      </c>
      <c r="C104" s="3" t="s">
        <v>121</v>
      </c>
      <c r="D104" s="3"/>
      <c r="E104" s="3" t="s">
        <v>121</v>
      </c>
      <c r="F104" s="3"/>
      <c r="G104" s="3"/>
      <c r="H104" s="3"/>
      <c r="I104" s="3"/>
      <c r="J104" s="3"/>
      <c r="K104" s="3"/>
      <c r="L104" s="3" t="s">
        <v>90</v>
      </c>
      <c r="M104" s="3">
        <v>40</v>
      </c>
      <c r="N104" s="3" t="s">
        <v>105</v>
      </c>
      <c r="O104" s="3"/>
      <c r="P104" s="3"/>
      <c r="Q104" s="3">
        <v>0.24</v>
      </c>
      <c r="R104" s="3" t="s">
        <v>106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89</v>
      </c>
      <c r="C105" s="3" t="s">
        <v>121</v>
      </c>
      <c r="D105" s="3"/>
      <c r="E105" s="3" t="s">
        <v>121</v>
      </c>
      <c r="F105" s="3"/>
      <c r="G105" s="3"/>
      <c r="H105" s="3"/>
      <c r="I105" s="3"/>
      <c r="J105" s="3"/>
      <c r="K105" s="3"/>
      <c r="L105" s="3" t="s">
        <v>90</v>
      </c>
      <c r="M105" s="3">
        <v>50</v>
      </c>
      <c r="N105" s="3" t="s">
        <v>107</v>
      </c>
      <c r="O105" s="3"/>
      <c r="P105" s="3"/>
      <c r="Q105" s="3">
        <v>11.379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89</v>
      </c>
      <c r="C106" s="3" t="s">
        <v>121</v>
      </c>
      <c r="D106" s="3"/>
      <c r="E106" s="3" t="s">
        <v>121</v>
      </c>
      <c r="F106" s="3"/>
      <c r="G106" s="3"/>
      <c r="H106" s="3"/>
      <c r="I106" s="3"/>
      <c r="J106" s="3"/>
      <c r="K106" s="3"/>
      <c r="L106" s="3" t="s">
        <v>90</v>
      </c>
      <c r="M106" s="3">
        <v>60</v>
      </c>
      <c r="N106" s="3" t="s">
        <v>18</v>
      </c>
      <c r="O106" s="3"/>
      <c r="P106" s="3"/>
      <c r="Q106" s="3">
        <v>69.981999999999999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89</v>
      </c>
      <c r="C107" s="3" t="s">
        <v>121</v>
      </c>
      <c r="D107" s="3"/>
      <c r="E107" s="3" t="s">
        <v>121</v>
      </c>
      <c r="F107" s="3"/>
      <c r="G107" s="3"/>
      <c r="H107" s="3"/>
      <c r="I107" s="3"/>
      <c r="J107" s="3"/>
      <c r="K107" s="3"/>
      <c r="L107" s="3" t="s">
        <v>90</v>
      </c>
      <c r="M107" s="3">
        <v>70</v>
      </c>
      <c r="N107" s="3" t="s">
        <v>113</v>
      </c>
      <c r="O107" s="3"/>
      <c r="P107" s="3"/>
      <c r="Q107" s="3">
        <v>4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89</v>
      </c>
      <c r="C108" s="3" t="s">
        <v>121</v>
      </c>
      <c r="D108" s="3"/>
      <c r="E108" s="3" t="s">
        <v>121</v>
      </c>
      <c r="F108" s="3"/>
      <c r="G108" s="3"/>
      <c r="H108" s="3"/>
      <c r="I108" s="3"/>
      <c r="J108" s="3"/>
      <c r="K108" s="3"/>
      <c r="L108" s="3" t="s">
        <v>90</v>
      </c>
      <c r="M108" s="3">
        <v>80</v>
      </c>
      <c r="N108" s="3" t="s">
        <v>21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121</v>
      </c>
      <c r="D109" s="3"/>
      <c r="E109" s="3" t="s">
        <v>121</v>
      </c>
      <c r="F109" s="3"/>
      <c r="G109" s="3"/>
      <c r="H109" s="3"/>
      <c r="I109" s="3"/>
      <c r="J109" s="3"/>
      <c r="K109" s="3"/>
      <c r="L109" s="3" t="s">
        <v>90</v>
      </c>
      <c r="M109" s="3">
        <v>90</v>
      </c>
      <c r="N109" s="3" t="s">
        <v>22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121</v>
      </c>
      <c r="D110" s="3"/>
      <c r="E110" s="3" t="s">
        <v>121</v>
      </c>
      <c r="F110" s="3"/>
      <c r="G110" s="3"/>
      <c r="H110" s="3"/>
      <c r="I110" s="3"/>
      <c r="J110" s="3"/>
      <c r="K110" s="3"/>
      <c r="L110" s="3" t="s">
        <v>90</v>
      </c>
      <c r="M110" s="3">
        <v>100</v>
      </c>
      <c r="N110" s="3" t="s">
        <v>23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121</v>
      </c>
      <c r="D111" s="3"/>
      <c r="E111" s="3" t="s">
        <v>121</v>
      </c>
      <c r="F111" s="3"/>
      <c r="G111" s="3"/>
      <c r="H111" s="3"/>
      <c r="I111" s="3"/>
      <c r="J111" s="3"/>
      <c r="K111" s="3"/>
      <c r="L111" s="3" t="s">
        <v>90</v>
      </c>
      <c r="M111" s="3">
        <v>110</v>
      </c>
      <c r="N111" s="3" t="s">
        <v>111</v>
      </c>
      <c r="O111" s="3"/>
      <c r="P111" s="3"/>
      <c r="Q111" s="3">
        <v>0.58099999999999996</v>
      </c>
      <c r="R111" s="3" t="s">
        <v>13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121</v>
      </c>
      <c r="D112" s="3"/>
      <c r="E112" s="3" t="s">
        <v>121</v>
      </c>
      <c r="F112" s="3"/>
      <c r="G112" s="3"/>
      <c r="H112" s="3"/>
      <c r="I112" s="3"/>
      <c r="J112" s="3"/>
      <c r="K112" s="3"/>
      <c r="L112" s="3" t="s">
        <v>90</v>
      </c>
      <c r="M112" s="3">
        <v>120</v>
      </c>
      <c r="N112" s="3" t="s">
        <v>161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89</v>
      </c>
      <c r="C113" s="3" t="s">
        <v>122</v>
      </c>
      <c r="D113" s="3"/>
      <c r="E113" s="3" t="s">
        <v>122</v>
      </c>
      <c r="F113" s="3"/>
      <c r="G113" s="3"/>
      <c r="H113" s="3"/>
      <c r="I113" s="3"/>
      <c r="J113" s="3"/>
      <c r="K113" s="3"/>
      <c r="L113" s="3" t="s">
        <v>90</v>
      </c>
      <c r="M113" s="3">
        <v>10</v>
      </c>
      <c r="N113" s="3" t="s">
        <v>272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89</v>
      </c>
      <c r="C114" s="3" t="s">
        <v>122</v>
      </c>
      <c r="D114" s="3"/>
      <c r="E114" s="3" t="s">
        <v>122</v>
      </c>
      <c r="F114" s="3"/>
      <c r="G114" s="3"/>
      <c r="H114" s="3"/>
      <c r="I114" s="3"/>
      <c r="J114" s="3"/>
      <c r="K114" s="3"/>
      <c r="L114" s="3" t="s">
        <v>90</v>
      </c>
      <c r="M114" s="3">
        <v>20</v>
      </c>
      <c r="N114" s="3" t="s">
        <v>109</v>
      </c>
      <c r="O114" s="3"/>
      <c r="P114" s="3"/>
      <c r="Q114" s="3">
        <v>1.016</v>
      </c>
      <c r="R114" s="3" t="s">
        <v>15</v>
      </c>
      <c r="S114" s="3"/>
      <c r="T114" s="3">
        <v>10</v>
      </c>
      <c r="U114" s="3"/>
      <c r="V114" s="3" t="s">
        <v>16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89</v>
      </c>
      <c r="C115" s="3" t="s">
        <v>122</v>
      </c>
      <c r="D115" s="3"/>
      <c r="E115" s="3" t="s">
        <v>122</v>
      </c>
      <c r="F115" s="3"/>
      <c r="G115" s="3"/>
      <c r="H115" s="3"/>
      <c r="I115" s="3"/>
      <c r="J115" s="3"/>
      <c r="K115" s="3"/>
      <c r="L115" s="3" t="s">
        <v>90</v>
      </c>
      <c r="M115" s="3">
        <v>30</v>
      </c>
      <c r="N115" s="3" t="s">
        <v>110</v>
      </c>
      <c r="O115" s="3"/>
      <c r="P115" s="3"/>
      <c r="Q115" s="3">
        <v>1.016</v>
      </c>
      <c r="R115" s="3" t="s">
        <v>15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89</v>
      </c>
      <c r="C116" s="3" t="s">
        <v>122</v>
      </c>
      <c r="D116" s="3"/>
      <c r="E116" s="3" t="s">
        <v>122</v>
      </c>
      <c r="F116" s="3"/>
      <c r="G116" s="3"/>
      <c r="H116" s="3"/>
      <c r="I116" s="3"/>
      <c r="J116" s="3"/>
      <c r="K116" s="3"/>
      <c r="L116" s="3" t="s">
        <v>90</v>
      </c>
      <c r="M116" s="3">
        <v>40</v>
      </c>
      <c r="N116" s="3" t="s">
        <v>105</v>
      </c>
      <c r="O116" s="3"/>
      <c r="P116" s="3"/>
      <c r="Q116" s="3">
        <v>0.28499999999999998</v>
      </c>
      <c r="R116" s="3" t="s">
        <v>106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89</v>
      </c>
      <c r="C117" s="3" t="s">
        <v>122</v>
      </c>
      <c r="D117" s="3"/>
      <c r="E117" s="3" t="s">
        <v>122</v>
      </c>
      <c r="F117" s="3"/>
      <c r="G117" s="3"/>
      <c r="H117" s="3"/>
      <c r="I117" s="3"/>
      <c r="J117" s="3"/>
      <c r="K117" s="3"/>
      <c r="L117" s="3" t="s">
        <v>90</v>
      </c>
      <c r="M117" s="3">
        <v>50</v>
      </c>
      <c r="N117" s="3" t="s">
        <v>107</v>
      </c>
      <c r="O117" s="3"/>
      <c r="P117" s="3"/>
      <c r="Q117" s="3">
        <v>11.989000000000001</v>
      </c>
      <c r="R117" s="3" t="s">
        <v>15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89</v>
      </c>
      <c r="C118" s="3" t="s">
        <v>122</v>
      </c>
      <c r="D118" s="3"/>
      <c r="E118" s="3" t="s">
        <v>122</v>
      </c>
      <c r="F118" s="3"/>
      <c r="G118" s="3"/>
      <c r="H118" s="3"/>
      <c r="I118" s="3"/>
      <c r="J118" s="3"/>
      <c r="K118" s="3"/>
      <c r="L118" s="3" t="s">
        <v>90</v>
      </c>
      <c r="M118" s="3">
        <v>60</v>
      </c>
      <c r="N118" s="3" t="s">
        <v>18</v>
      </c>
      <c r="O118" s="3"/>
      <c r="P118" s="3"/>
      <c r="Q118" s="3">
        <v>73.730999999999995</v>
      </c>
      <c r="R118" s="3" t="s">
        <v>15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89</v>
      </c>
      <c r="C119" s="3" t="s">
        <v>122</v>
      </c>
      <c r="D119" s="3"/>
      <c r="E119" s="3" t="s">
        <v>122</v>
      </c>
      <c r="F119" s="3"/>
      <c r="G119" s="3"/>
      <c r="H119" s="3"/>
      <c r="I119" s="3"/>
      <c r="J119" s="3"/>
      <c r="K119" s="3"/>
      <c r="L119" s="3" t="s">
        <v>90</v>
      </c>
      <c r="M119" s="3">
        <v>70</v>
      </c>
      <c r="N119" s="3" t="s">
        <v>113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89</v>
      </c>
      <c r="C120" s="3" t="s">
        <v>122</v>
      </c>
      <c r="D120" s="3"/>
      <c r="E120" s="3" t="s">
        <v>122</v>
      </c>
      <c r="F120" s="3"/>
      <c r="G120" s="3"/>
      <c r="H120" s="3"/>
      <c r="I120" s="3"/>
      <c r="J120" s="3"/>
      <c r="K120" s="3"/>
      <c r="L120" s="3" t="s">
        <v>90</v>
      </c>
      <c r="M120" s="3">
        <v>80</v>
      </c>
      <c r="N120" s="3" t="s">
        <v>21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89</v>
      </c>
      <c r="C121" s="3" t="s">
        <v>122</v>
      </c>
      <c r="D121" s="3"/>
      <c r="E121" s="3" t="s">
        <v>122</v>
      </c>
      <c r="F121" s="3"/>
      <c r="G121" s="3"/>
      <c r="H121" s="3"/>
      <c r="I121" s="3"/>
      <c r="J121" s="3"/>
      <c r="K121" s="3"/>
      <c r="L121" s="3" t="s">
        <v>90</v>
      </c>
      <c r="M121" s="3">
        <v>90</v>
      </c>
      <c r="N121" s="3" t="s">
        <v>22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122</v>
      </c>
      <c r="D122" s="3"/>
      <c r="E122" s="3" t="s">
        <v>122</v>
      </c>
      <c r="F122" s="3"/>
      <c r="G122" s="3"/>
      <c r="H122" s="3"/>
      <c r="I122" s="3"/>
      <c r="J122" s="3"/>
      <c r="K122" s="3"/>
      <c r="L122" s="3" t="s">
        <v>90</v>
      </c>
      <c r="M122" s="3">
        <v>100</v>
      </c>
      <c r="N122" s="3" t="s">
        <v>23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122</v>
      </c>
      <c r="D123" s="3"/>
      <c r="E123" s="3" t="s">
        <v>122</v>
      </c>
      <c r="F123" s="3"/>
      <c r="G123" s="3"/>
      <c r="H123" s="3"/>
      <c r="I123" s="3"/>
      <c r="J123" s="3"/>
      <c r="K123" s="3"/>
      <c r="L123" s="3" t="s">
        <v>90</v>
      </c>
      <c r="M123" s="3">
        <v>110</v>
      </c>
      <c r="N123" s="3" t="s">
        <v>111</v>
      </c>
      <c r="O123" s="3"/>
      <c r="P123" s="3"/>
      <c r="Q123" s="3">
        <v>0.66200000000000003</v>
      </c>
      <c r="R123" s="3" t="s">
        <v>13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122</v>
      </c>
      <c r="D124" s="3"/>
      <c r="E124" s="3" t="s">
        <v>122</v>
      </c>
      <c r="F124" s="3"/>
      <c r="G124" s="3"/>
      <c r="H124" s="3"/>
      <c r="I124" s="3"/>
      <c r="J124" s="3"/>
      <c r="K124" s="3"/>
      <c r="L124" s="3" t="s">
        <v>90</v>
      </c>
      <c r="M124" s="3">
        <v>120</v>
      </c>
      <c r="N124" s="3" t="s">
        <v>162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89</v>
      </c>
      <c r="C125" s="3" t="s">
        <v>123</v>
      </c>
      <c r="D125" s="3"/>
      <c r="E125" s="3" t="s">
        <v>123</v>
      </c>
      <c r="F125" s="3"/>
      <c r="G125" s="3"/>
      <c r="H125" s="3"/>
      <c r="I125" s="3"/>
      <c r="J125" s="3"/>
      <c r="K125" s="3"/>
      <c r="L125" s="3" t="s">
        <v>90</v>
      </c>
      <c r="M125" s="3">
        <v>10</v>
      </c>
      <c r="N125" s="3" t="s">
        <v>273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89</v>
      </c>
      <c r="C126" s="3" t="s">
        <v>123</v>
      </c>
      <c r="D126" s="3"/>
      <c r="E126" s="3" t="s">
        <v>123</v>
      </c>
      <c r="F126" s="3"/>
      <c r="G126" s="3"/>
      <c r="H126" s="3"/>
      <c r="I126" s="3"/>
      <c r="J126" s="3"/>
      <c r="K126" s="3"/>
      <c r="L126" s="3" t="s">
        <v>90</v>
      </c>
      <c r="M126" s="3">
        <v>20</v>
      </c>
      <c r="N126" s="3" t="s">
        <v>109</v>
      </c>
      <c r="O126" s="3"/>
      <c r="P126" s="3"/>
      <c r="Q126" s="3">
        <v>1.1679999999999999</v>
      </c>
      <c r="R126" s="3" t="s">
        <v>15</v>
      </c>
      <c r="S126" s="3"/>
      <c r="T126" s="3">
        <v>10</v>
      </c>
      <c r="U126" s="3"/>
      <c r="V126" s="3" t="s">
        <v>16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89</v>
      </c>
      <c r="C127" s="3" t="s">
        <v>123</v>
      </c>
      <c r="D127" s="3"/>
      <c r="E127" s="3" t="s">
        <v>123</v>
      </c>
      <c r="F127" s="3"/>
      <c r="G127" s="3"/>
      <c r="H127" s="3"/>
      <c r="I127" s="3"/>
      <c r="J127" s="3"/>
      <c r="K127" s="3"/>
      <c r="L127" s="3" t="s">
        <v>90</v>
      </c>
      <c r="M127" s="3">
        <v>30</v>
      </c>
      <c r="N127" s="3" t="s">
        <v>110</v>
      </c>
      <c r="O127" s="3"/>
      <c r="P127" s="3"/>
      <c r="Q127" s="3">
        <v>1.1679999999999999</v>
      </c>
      <c r="R127" s="3" t="s">
        <v>15</v>
      </c>
      <c r="S127" s="3"/>
      <c r="T127" s="3">
        <v>10</v>
      </c>
      <c r="U127" s="3"/>
      <c r="V127" s="3" t="s">
        <v>16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89</v>
      </c>
      <c r="C128" s="3" t="s">
        <v>123</v>
      </c>
      <c r="D128" s="3"/>
      <c r="E128" s="3" t="s">
        <v>123</v>
      </c>
      <c r="F128" s="3"/>
      <c r="G128" s="3"/>
      <c r="H128" s="3"/>
      <c r="I128" s="3"/>
      <c r="J128" s="3"/>
      <c r="K128" s="3"/>
      <c r="L128" s="3" t="s">
        <v>90</v>
      </c>
      <c r="M128" s="3">
        <v>40</v>
      </c>
      <c r="N128" s="3" t="s">
        <v>105</v>
      </c>
      <c r="O128" s="3"/>
      <c r="P128" s="3"/>
      <c r="Q128" s="3">
        <v>0.33</v>
      </c>
      <c r="R128" s="3" t="s">
        <v>106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89</v>
      </c>
      <c r="C129" s="3" t="s">
        <v>123</v>
      </c>
      <c r="D129" s="3"/>
      <c r="E129" s="3" t="s">
        <v>123</v>
      </c>
      <c r="F129" s="3"/>
      <c r="G129" s="3"/>
      <c r="H129" s="3"/>
      <c r="I129" s="3"/>
      <c r="J129" s="3"/>
      <c r="K129" s="3"/>
      <c r="L129" s="3" t="s">
        <v>90</v>
      </c>
      <c r="M129" s="3">
        <v>50</v>
      </c>
      <c r="N129" s="3" t="s">
        <v>107</v>
      </c>
      <c r="O129" s="3"/>
      <c r="P129" s="3"/>
      <c r="Q129" s="3">
        <v>12.598000000000001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89</v>
      </c>
      <c r="C130" s="3" t="s">
        <v>123</v>
      </c>
      <c r="D130" s="3"/>
      <c r="E130" s="3" t="s">
        <v>123</v>
      </c>
      <c r="F130" s="3"/>
      <c r="G130" s="3"/>
      <c r="H130" s="3"/>
      <c r="I130" s="3"/>
      <c r="J130" s="3"/>
      <c r="K130" s="3"/>
      <c r="L130" s="3" t="s">
        <v>90</v>
      </c>
      <c r="M130" s="3">
        <v>60</v>
      </c>
      <c r="N130" s="3" t="s">
        <v>18</v>
      </c>
      <c r="O130" s="3"/>
      <c r="P130" s="3"/>
      <c r="Q130" s="3">
        <v>77.48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89</v>
      </c>
      <c r="C131" s="3" t="s">
        <v>123</v>
      </c>
      <c r="D131" s="3"/>
      <c r="E131" s="3" t="s">
        <v>123</v>
      </c>
      <c r="F131" s="3"/>
      <c r="G131" s="3"/>
      <c r="H131" s="3"/>
      <c r="I131" s="3"/>
      <c r="J131" s="3"/>
      <c r="K131" s="3"/>
      <c r="L131" s="3" t="s">
        <v>90</v>
      </c>
      <c r="M131" s="3">
        <v>70</v>
      </c>
      <c r="N131" s="3" t="s">
        <v>113</v>
      </c>
      <c r="O131" s="3"/>
      <c r="P131" s="3"/>
      <c r="Q131" s="3">
        <v>4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89</v>
      </c>
      <c r="C132" s="3" t="s">
        <v>123</v>
      </c>
      <c r="D132" s="3"/>
      <c r="E132" s="3" t="s">
        <v>123</v>
      </c>
      <c r="F132" s="3"/>
      <c r="G132" s="3"/>
      <c r="H132" s="3"/>
      <c r="I132" s="3"/>
      <c r="J132" s="3"/>
      <c r="K132" s="3"/>
      <c r="L132" s="3" t="s">
        <v>90</v>
      </c>
      <c r="M132" s="3">
        <v>80</v>
      </c>
      <c r="N132" s="3" t="s">
        <v>21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89</v>
      </c>
      <c r="C133" s="3" t="s">
        <v>123</v>
      </c>
      <c r="D133" s="3"/>
      <c r="E133" s="3" t="s">
        <v>123</v>
      </c>
      <c r="F133" s="3"/>
      <c r="G133" s="3"/>
      <c r="H133" s="3"/>
      <c r="I133" s="3"/>
      <c r="J133" s="3"/>
      <c r="K133" s="3"/>
      <c r="L133" s="3" t="s">
        <v>90</v>
      </c>
      <c r="M133" s="3">
        <v>90</v>
      </c>
      <c r="N133" s="3" t="s">
        <v>22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89</v>
      </c>
      <c r="C134" s="3" t="s">
        <v>123</v>
      </c>
      <c r="D134" s="3"/>
      <c r="E134" s="3" t="s">
        <v>123</v>
      </c>
      <c r="F134" s="3"/>
      <c r="G134" s="3"/>
      <c r="H134" s="3"/>
      <c r="I134" s="3"/>
      <c r="J134" s="3"/>
      <c r="K134" s="3"/>
      <c r="L134" s="3" t="s">
        <v>90</v>
      </c>
      <c r="M134" s="3">
        <v>100</v>
      </c>
      <c r="N134" s="3" t="s">
        <v>23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123</v>
      </c>
      <c r="D135" s="3"/>
      <c r="E135" s="3" t="s">
        <v>123</v>
      </c>
      <c r="F135" s="3"/>
      <c r="G135" s="3"/>
      <c r="H135" s="3"/>
      <c r="I135" s="3"/>
      <c r="J135" s="3"/>
      <c r="K135" s="3"/>
      <c r="L135" s="3" t="s">
        <v>90</v>
      </c>
      <c r="M135" s="3">
        <v>110</v>
      </c>
      <c r="N135" s="3" t="s">
        <v>111</v>
      </c>
      <c r="O135" s="3"/>
      <c r="P135" s="3"/>
      <c r="Q135" s="3">
        <v>0.74299999999999999</v>
      </c>
      <c r="R135" s="3" t="s">
        <v>13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123</v>
      </c>
      <c r="D136" s="3"/>
      <c r="E136" s="3" t="s">
        <v>123</v>
      </c>
      <c r="F136" s="3"/>
      <c r="G136" s="3"/>
      <c r="H136" s="3"/>
      <c r="I136" s="3"/>
      <c r="J136" s="3"/>
      <c r="K136" s="3"/>
      <c r="L136" s="3" t="s">
        <v>90</v>
      </c>
      <c r="M136" s="3">
        <v>120</v>
      </c>
      <c r="N136" s="3" t="s">
        <v>163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89</v>
      </c>
      <c r="C137" s="3" t="s">
        <v>124</v>
      </c>
      <c r="D137" s="3"/>
      <c r="E137" s="3" t="s">
        <v>124</v>
      </c>
      <c r="F137" s="3"/>
      <c r="G137" s="3"/>
      <c r="H137" s="3"/>
      <c r="I137" s="3"/>
      <c r="J137" s="3"/>
      <c r="K137" s="3"/>
      <c r="L137" s="3" t="s">
        <v>90</v>
      </c>
      <c r="M137" s="3">
        <v>10</v>
      </c>
      <c r="N137" s="3" t="s">
        <v>274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89</v>
      </c>
      <c r="C138" s="3" t="s">
        <v>124</v>
      </c>
      <c r="D138" s="3"/>
      <c r="E138" s="3" t="s">
        <v>124</v>
      </c>
      <c r="F138" s="3"/>
      <c r="G138" s="3"/>
      <c r="H138" s="3"/>
      <c r="I138" s="3"/>
      <c r="J138" s="3"/>
      <c r="K138" s="3"/>
      <c r="L138" s="3" t="s">
        <v>90</v>
      </c>
      <c r="M138" s="3">
        <v>20</v>
      </c>
      <c r="N138" s="3" t="s">
        <v>109</v>
      </c>
      <c r="O138" s="3"/>
      <c r="P138" s="3"/>
      <c r="Q138" s="3">
        <v>1.321</v>
      </c>
      <c r="R138" s="3" t="s">
        <v>15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89</v>
      </c>
      <c r="C139" s="3" t="s">
        <v>124</v>
      </c>
      <c r="D139" s="3"/>
      <c r="E139" s="3" t="s">
        <v>124</v>
      </c>
      <c r="F139" s="3"/>
      <c r="G139" s="3"/>
      <c r="H139" s="3"/>
      <c r="I139" s="3"/>
      <c r="J139" s="3"/>
      <c r="K139" s="3"/>
      <c r="L139" s="3" t="s">
        <v>90</v>
      </c>
      <c r="M139" s="3">
        <v>30</v>
      </c>
      <c r="N139" s="3" t="s">
        <v>110</v>
      </c>
      <c r="O139" s="3"/>
      <c r="P139" s="3"/>
      <c r="Q139" s="3">
        <v>1.321</v>
      </c>
      <c r="R139" s="3" t="s">
        <v>15</v>
      </c>
      <c r="S139" s="3"/>
      <c r="T139" s="3">
        <v>10</v>
      </c>
      <c r="U139" s="3"/>
      <c r="V139" s="3" t="s">
        <v>16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89</v>
      </c>
      <c r="C140" s="3" t="s">
        <v>124</v>
      </c>
      <c r="D140" s="3"/>
      <c r="E140" s="3" t="s">
        <v>124</v>
      </c>
      <c r="F140" s="3"/>
      <c r="G140" s="3"/>
      <c r="H140" s="3"/>
      <c r="I140" s="3"/>
      <c r="J140" s="3"/>
      <c r="K140" s="3"/>
      <c r="L140" s="3" t="s">
        <v>90</v>
      </c>
      <c r="M140" s="3">
        <v>40</v>
      </c>
      <c r="N140" s="3" t="s">
        <v>105</v>
      </c>
      <c r="O140" s="3"/>
      <c r="P140" s="3"/>
      <c r="Q140" s="3">
        <v>0.375</v>
      </c>
      <c r="R140" s="3" t="s">
        <v>106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89</v>
      </c>
      <c r="C141" s="3" t="s">
        <v>124</v>
      </c>
      <c r="D141" s="3"/>
      <c r="E141" s="3" t="s">
        <v>124</v>
      </c>
      <c r="F141" s="3"/>
      <c r="G141" s="3"/>
      <c r="H141" s="3"/>
      <c r="I141" s="3"/>
      <c r="J141" s="3"/>
      <c r="K141" s="3"/>
      <c r="L141" s="3" t="s">
        <v>90</v>
      </c>
      <c r="M141" s="3">
        <v>50</v>
      </c>
      <c r="N141" s="3" t="s">
        <v>107</v>
      </c>
      <c r="O141" s="3"/>
      <c r="P141" s="3"/>
      <c r="Q141" s="3">
        <v>13.208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89</v>
      </c>
      <c r="C142" s="3" t="s">
        <v>124</v>
      </c>
      <c r="D142" s="3"/>
      <c r="E142" s="3" t="s">
        <v>124</v>
      </c>
      <c r="F142" s="3"/>
      <c r="G142" s="3"/>
      <c r="H142" s="3"/>
      <c r="I142" s="3"/>
      <c r="J142" s="3"/>
      <c r="K142" s="3"/>
      <c r="L142" s="3" t="s">
        <v>90</v>
      </c>
      <c r="M142" s="3">
        <v>60</v>
      </c>
      <c r="N142" s="3" t="s">
        <v>18</v>
      </c>
      <c r="O142" s="3"/>
      <c r="P142" s="3"/>
      <c r="Q142" s="3">
        <v>81.228999999999999</v>
      </c>
      <c r="R142" s="3" t="s">
        <v>15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89</v>
      </c>
      <c r="C143" s="3" t="s">
        <v>124</v>
      </c>
      <c r="D143" s="3"/>
      <c r="E143" s="3" t="s">
        <v>124</v>
      </c>
      <c r="F143" s="3"/>
      <c r="G143" s="3"/>
      <c r="H143" s="3"/>
      <c r="I143" s="3"/>
      <c r="J143" s="3"/>
      <c r="K143" s="3"/>
      <c r="L143" s="3" t="s">
        <v>90</v>
      </c>
      <c r="M143" s="3">
        <v>70</v>
      </c>
      <c r="N143" s="3" t="s">
        <v>113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89</v>
      </c>
      <c r="C144" s="3" t="s">
        <v>124</v>
      </c>
      <c r="D144" s="3"/>
      <c r="E144" s="3" t="s">
        <v>124</v>
      </c>
      <c r="F144" s="3"/>
      <c r="G144" s="3"/>
      <c r="H144" s="3"/>
      <c r="I144" s="3"/>
      <c r="J144" s="3"/>
      <c r="K144" s="3"/>
      <c r="L144" s="3" t="s">
        <v>90</v>
      </c>
      <c r="M144" s="3">
        <v>80</v>
      </c>
      <c r="N144" s="3" t="s">
        <v>21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89</v>
      </c>
      <c r="C145" s="3" t="s">
        <v>124</v>
      </c>
      <c r="D145" s="3"/>
      <c r="E145" s="3" t="s">
        <v>124</v>
      </c>
      <c r="F145" s="3"/>
      <c r="G145" s="3"/>
      <c r="H145" s="3"/>
      <c r="I145" s="3"/>
      <c r="J145" s="3"/>
      <c r="K145" s="3"/>
      <c r="L145" s="3" t="s">
        <v>90</v>
      </c>
      <c r="M145" s="3">
        <v>90</v>
      </c>
      <c r="N145" s="3" t="s">
        <v>22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89</v>
      </c>
      <c r="C146" s="3" t="s">
        <v>124</v>
      </c>
      <c r="D146" s="3"/>
      <c r="E146" s="3" t="s">
        <v>124</v>
      </c>
      <c r="F146" s="3"/>
      <c r="G146" s="3"/>
      <c r="H146" s="3"/>
      <c r="I146" s="3"/>
      <c r="J146" s="3"/>
      <c r="K146" s="3"/>
      <c r="L146" s="3" t="s">
        <v>90</v>
      </c>
      <c r="M146" s="3">
        <v>100</v>
      </c>
      <c r="N146" s="3" t="s">
        <v>23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89</v>
      </c>
      <c r="C147" s="3" t="s">
        <v>124</v>
      </c>
      <c r="D147" s="3"/>
      <c r="E147" s="3" t="s">
        <v>124</v>
      </c>
      <c r="F147" s="3"/>
      <c r="G147" s="3"/>
      <c r="H147" s="3"/>
      <c r="I147" s="3"/>
      <c r="J147" s="3"/>
      <c r="K147" s="3"/>
      <c r="L147" s="3" t="s">
        <v>90</v>
      </c>
      <c r="M147" s="3">
        <v>110</v>
      </c>
      <c r="N147" s="3" t="s">
        <v>111</v>
      </c>
      <c r="O147" s="3"/>
      <c r="P147" s="3"/>
      <c r="Q147" s="3">
        <v>0.82399999999999995</v>
      </c>
      <c r="R147" s="3" t="s">
        <v>13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124</v>
      </c>
      <c r="D148" s="3"/>
      <c r="E148" s="3" t="s">
        <v>124</v>
      </c>
      <c r="F148" s="3"/>
      <c r="G148" s="3"/>
      <c r="H148" s="3"/>
      <c r="I148" s="3"/>
      <c r="J148" s="3"/>
      <c r="K148" s="3"/>
      <c r="L148" s="3" t="s">
        <v>90</v>
      </c>
      <c r="M148" s="3">
        <v>120</v>
      </c>
      <c r="N148" s="3" t="s">
        <v>164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89</v>
      </c>
      <c r="C149" s="3" t="s">
        <v>125</v>
      </c>
      <c r="D149" s="3"/>
      <c r="E149" s="3" t="s">
        <v>125</v>
      </c>
      <c r="F149" s="3"/>
      <c r="G149" s="3"/>
      <c r="H149" s="3"/>
      <c r="I149" s="3"/>
      <c r="J149" s="3"/>
      <c r="K149" s="3"/>
      <c r="L149" s="3" t="s">
        <v>90</v>
      </c>
      <c r="M149" s="3">
        <v>10</v>
      </c>
      <c r="N149" s="3" t="s">
        <v>275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89</v>
      </c>
      <c r="C150" s="3" t="s">
        <v>125</v>
      </c>
      <c r="D150" s="3"/>
      <c r="E150" s="3" t="s">
        <v>125</v>
      </c>
      <c r="F150" s="3"/>
      <c r="G150" s="3"/>
      <c r="H150" s="3"/>
      <c r="I150" s="3"/>
      <c r="J150" s="3"/>
      <c r="K150" s="3"/>
      <c r="L150" s="3" t="s">
        <v>90</v>
      </c>
      <c r="M150" s="3">
        <v>20</v>
      </c>
      <c r="N150" s="3" t="s">
        <v>109</v>
      </c>
      <c r="O150" s="3"/>
      <c r="P150" s="3"/>
      <c r="Q150" s="3">
        <v>1.397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89</v>
      </c>
      <c r="C151" s="3" t="s">
        <v>125</v>
      </c>
      <c r="D151" s="3"/>
      <c r="E151" s="3" t="s">
        <v>125</v>
      </c>
      <c r="F151" s="3"/>
      <c r="G151" s="3"/>
      <c r="H151" s="3"/>
      <c r="I151" s="3"/>
      <c r="J151" s="3"/>
      <c r="K151" s="3"/>
      <c r="L151" s="3" t="s">
        <v>90</v>
      </c>
      <c r="M151" s="3">
        <v>30</v>
      </c>
      <c r="N151" s="3" t="s">
        <v>110</v>
      </c>
      <c r="O151" s="3"/>
      <c r="P151" s="3"/>
      <c r="Q151" s="3">
        <v>1.397</v>
      </c>
      <c r="R151" s="3" t="s">
        <v>15</v>
      </c>
      <c r="S151" s="3"/>
      <c r="T151" s="3">
        <v>10</v>
      </c>
      <c r="U151" s="3"/>
      <c r="V151" s="3" t="s">
        <v>16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89</v>
      </c>
      <c r="C152" s="3" t="s">
        <v>125</v>
      </c>
      <c r="D152" s="3"/>
      <c r="E152" s="3" t="s">
        <v>125</v>
      </c>
      <c r="F152" s="3"/>
      <c r="G152" s="3"/>
      <c r="H152" s="3"/>
      <c r="I152" s="3"/>
      <c r="J152" s="3"/>
      <c r="K152" s="3"/>
      <c r="L152" s="3" t="s">
        <v>90</v>
      </c>
      <c r="M152" s="3">
        <v>40</v>
      </c>
      <c r="N152" s="3" t="s">
        <v>105</v>
      </c>
      <c r="O152" s="3"/>
      <c r="P152" s="3"/>
      <c r="Q152" s="3">
        <v>0.39700000000000002</v>
      </c>
      <c r="R152" s="3" t="s">
        <v>106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89</v>
      </c>
      <c r="C153" s="3" t="s">
        <v>125</v>
      </c>
      <c r="D153" s="3"/>
      <c r="E153" s="3" t="s">
        <v>125</v>
      </c>
      <c r="F153" s="3"/>
      <c r="G153" s="3"/>
      <c r="H153" s="3"/>
      <c r="I153" s="3"/>
      <c r="J153" s="3"/>
      <c r="K153" s="3"/>
      <c r="L153" s="3" t="s">
        <v>90</v>
      </c>
      <c r="M153" s="3">
        <v>50</v>
      </c>
      <c r="N153" s="3" t="s">
        <v>107</v>
      </c>
      <c r="O153" s="3"/>
      <c r="P153" s="3"/>
      <c r="Q153" s="3">
        <v>13.513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89</v>
      </c>
      <c r="C154" s="3" t="s">
        <v>125</v>
      </c>
      <c r="D154" s="3"/>
      <c r="E154" s="3" t="s">
        <v>125</v>
      </c>
      <c r="F154" s="3"/>
      <c r="G154" s="3"/>
      <c r="H154" s="3"/>
      <c r="I154" s="3"/>
      <c r="J154" s="3"/>
      <c r="K154" s="3"/>
      <c r="L154" s="3" t="s">
        <v>90</v>
      </c>
      <c r="M154" s="3">
        <v>60</v>
      </c>
      <c r="N154" s="3" t="s">
        <v>18</v>
      </c>
      <c r="O154" s="3"/>
      <c r="P154" s="3"/>
      <c r="Q154" s="3">
        <v>83.103999999999999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89</v>
      </c>
      <c r="C155" s="3" t="s">
        <v>125</v>
      </c>
      <c r="D155" s="3"/>
      <c r="E155" s="3" t="s">
        <v>125</v>
      </c>
      <c r="F155" s="3"/>
      <c r="G155" s="3"/>
      <c r="H155" s="3"/>
      <c r="I155" s="3"/>
      <c r="J155" s="3"/>
      <c r="K155" s="3"/>
      <c r="L155" s="3" t="s">
        <v>90</v>
      </c>
      <c r="M155" s="3">
        <v>70</v>
      </c>
      <c r="N155" s="3" t="s">
        <v>113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89</v>
      </c>
      <c r="C156" s="3" t="s">
        <v>125</v>
      </c>
      <c r="D156" s="3"/>
      <c r="E156" s="3" t="s">
        <v>125</v>
      </c>
      <c r="F156" s="3"/>
      <c r="G156" s="3"/>
      <c r="H156" s="3"/>
      <c r="I156" s="3"/>
      <c r="J156" s="3"/>
      <c r="K156" s="3"/>
      <c r="L156" s="3" t="s">
        <v>90</v>
      </c>
      <c r="M156" s="3">
        <v>80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89</v>
      </c>
      <c r="C157" s="3" t="s">
        <v>125</v>
      </c>
      <c r="D157" s="3"/>
      <c r="E157" s="3" t="s">
        <v>125</v>
      </c>
      <c r="F157" s="3"/>
      <c r="G157" s="3"/>
      <c r="H157" s="3"/>
      <c r="I157" s="3"/>
      <c r="J157" s="3"/>
      <c r="K157" s="3"/>
      <c r="L157" s="3" t="s">
        <v>90</v>
      </c>
      <c r="M157" s="3">
        <v>90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89</v>
      </c>
      <c r="C158" s="3" t="s">
        <v>125</v>
      </c>
      <c r="D158" s="3"/>
      <c r="E158" s="3" t="s">
        <v>125</v>
      </c>
      <c r="F158" s="3"/>
      <c r="G158" s="3"/>
      <c r="H158" s="3"/>
      <c r="I158" s="3"/>
      <c r="J158" s="3"/>
      <c r="K158" s="3"/>
      <c r="L158" s="3" t="s">
        <v>90</v>
      </c>
      <c r="M158" s="3">
        <v>100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89</v>
      </c>
      <c r="C159" s="3" t="s">
        <v>125</v>
      </c>
      <c r="D159" s="3"/>
      <c r="E159" s="3" t="s">
        <v>125</v>
      </c>
      <c r="F159" s="3"/>
      <c r="G159" s="3"/>
      <c r="H159" s="3"/>
      <c r="I159" s="3"/>
      <c r="J159" s="3"/>
      <c r="K159" s="3"/>
      <c r="L159" s="3" t="s">
        <v>90</v>
      </c>
      <c r="M159" s="3">
        <v>110</v>
      </c>
      <c r="N159" s="3" t="s">
        <v>111</v>
      </c>
      <c r="O159" s="3"/>
      <c r="P159" s="3"/>
      <c r="Q159" s="3">
        <v>0.86499999999999999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89</v>
      </c>
      <c r="C160" s="3" t="s">
        <v>125</v>
      </c>
      <c r="D160" s="3"/>
      <c r="E160" s="3" t="s">
        <v>125</v>
      </c>
      <c r="F160" s="3"/>
      <c r="G160" s="3"/>
      <c r="H160" s="3"/>
      <c r="I160" s="3"/>
      <c r="J160" s="3"/>
      <c r="K160" s="3"/>
      <c r="L160" s="3" t="s">
        <v>90</v>
      </c>
      <c r="M160" s="3">
        <v>120</v>
      </c>
      <c r="N160" s="3" t="s">
        <v>165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89</v>
      </c>
      <c r="C161" s="3" t="s">
        <v>126</v>
      </c>
      <c r="D161" s="3"/>
      <c r="E161" s="3" t="s">
        <v>126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276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89</v>
      </c>
      <c r="C162" s="3" t="s">
        <v>126</v>
      </c>
      <c r="D162" s="3"/>
      <c r="E162" s="3" t="s">
        <v>126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109</v>
      </c>
      <c r="O162" s="3"/>
      <c r="P162" s="3"/>
      <c r="Q162" s="3">
        <v>1.4730000000000001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89</v>
      </c>
      <c r="C163" s="3" t="s">
        <v>126</v>
      </c>
      <c r="D163" s="3"/>
      <c r="E163" s="3" t="s">
        <v>126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110</v>
      </c>
      <c r="O163" s="3"/>
      <c r="P163" s="3"/>
      <c r="Q163" s="3">
        <v>1.4730000000000001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89</v>
      </c>
      <c r="C164" s="3" t="s">
        <v>126</v>
      </c>
      <c r="D164" s="3"/>
      <c r="E164" s="3" t="s">
        <v>126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0.42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89</v>
      </c>
      <c r="C165" s="3" t="s">
        <v>126</v>
      </c>
      <c r="D165" s="3"/>
      <c r="E165" s="3" t="s">
        <v>126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107</v>
      </c>
      <c r="O165" s="3"/>
      <c r="P165" s="3"/>
      <c r="Q165" s="3">
        <v>13.818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89</v>
      </c>
      <c r="C166" s="3" t="s">
        <v>126</v>
      </c>
      <c r="D166" s="3"/>
      <c r="E166" s="3" t="s">
        <v>126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84.977999999999994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89</v>
      </c>
      <c r="C167" s="3" t="s">
        <v>126</v>
      </c>
      <c r="D167" s="3"/>
      <c r="E167" s="3" t="s">
        <v>126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113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89</v>
      </c>
      <c r="C168" s="3" t="s">
        <v>126</v>
      </c>
      <c r="D168" s="3"/>
      <c r="E168" s="3" t="s">
        <v>126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89</v>
      </c>
      <c r="C169" s="3" t="s">
        <v>126</v>
      </c>
      <c r="D169" s="3"/>
      <c r="E169" s="3" t="s">
        <v>126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89</v>
      </c>
      <c r="C170" s="3" t="s">
        <v>126</v>
      </c>
      <c r="D170" s="3"/>
      <c r="E170" s="3" t="s">
        <v>126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89</v>
      </c>
      <c r="C171" s="3" t="s">
        <v>126</v>
      </c>
      <c r="D171" s="3"/>
      <c r="E171" s="3" t="s">
        <v>126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111</v>
      </c>
      <c r="O171" s="3"/>
      <c r="P171" s="3"/>
      <c r="Q171" s="3">
        <v>0.90500000000000003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89</v>
      </c>
      <c r="C172" s="3" t="s">
        <v>126</v>
      </c>
      <c r="D172" s="3"/>
      <c r="E172" s="3" t="s">
        <v>126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166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89</v>
      </c>
      <c r="C173" s="3" t="s">
        <v>127</v>
      </c>
      <c r="D173" s="3"/>
      <c r="E173" s="3" t="s">
        <v>127</v>
      </c>
      <c r="F173" s="3"/>
      <c r="G173" s="3"/>
      <c r="H173" s="3"/>
      <c r="I173" s="3"/>
      <c r="J173" s="3"/>
      <c r="K173" s="3"/>
      <c r="L173" s="3" t="s">
        <v>90</v>
      </c>
      <c r="M173" s="3">
        <v>10</v>
      </c>
      <c r="N173" s="3" t="s">
        <v>277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89</v>
      </c>
      <c r="C174" s="3" t="s">
        <v>127</v>
      </c>
      <c r="D174" s="3"/>
      <c r="E174" s="3" t="s">
        <v>127</v>
      </c>
      <c r="F174" s="3"/>
      <c r="G174" s="3"/>
      <c r="H174" s="3"/>
      <c r="I174" s="3"/>
      <c r="J174" s="3"/>
      <c r="K174" s="3"/>
      <c r="L174" s="3" t="s">
        <v>90</v>
      </c>
      <c r="M174" s="3">
        <v>20</v>
      </c>
      <c r="N174" s="3" t="s">
        <v>109</v>
      </c>
      <c r="O174" s="3"/>
      <c r="P174" s="3"/>
      <c r="Q174" s="3">
        <v>1.6259999999999999</v>
      </c>
      <c r="R174" s="3" t="s">
        <v>15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89</v>
      </c>
      <c r="C175" s="3" t="s">
        <v>127</v>
      </c>
      <c r="D175" s="3"/>
      <c r="E175" s="3" t="s">
        <v>127</v>
      </c>
      <c r="F175" s="3"/>
      <c r="G175" s="3"/>
      <c r="H175" s="3"/>
      <c r="I175" s="3"/>
      <c r="J175" s="3"/>
      <c r="K175" s="3"/>
      <c r="L175" s="3" t="s">
        <v>90</v>
      </c>
      <c r="M175" s="3">
        <v>30</v>
      </c>
      <c r="N175" s="3" t="s">
        <v>110</v>
      </c>
      <c r="O175" s="3"/>
      <c r="P175" s="3"/>
      <c r="Q175" s="3">
        <v>1.6259999999999999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89</v>
      </c>
      <c r="C176" s="3" t="s">
        <v>127</v>
      </c>
      <c r="D176" s="3"/>
      <c r="E176" s="3" t="s">
        <v>127</v>
      </c>
      <c r="F176" s="3"/>
      <c r="G176" s="3"/>
      <c r="H176" s="3"/>
      <c r="I176" s="3"/>
      <c r="J176" s="3"/>
      <c r="K176" s="3"/>
      <c r="L176" s="3" t="s">
        <v>90</v>
      </c>
      <c r="M176" s="3">
        <v>40</v>
      </c>
      <c r="N176" s="3" t="s">
        <v>105</v>
      </c>
      <c r="O176" s="3"/>
      <c r="P176" s="3"/>
      <c r="Q176" s="3">
        <v>0.46500000000000002</v>
      </c>
      <c r="R176" s="3" t="s">
        <v>106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89</v>
      </c>
      <c r="C177" s="3" t="s">
        <v>127</v>
      </c>
      <c r="D177" s="3"/>
      <c r="E177" s="3" t="s">
        <v>127</v>
      </c>
      <c r="F177" s="3"/>
      <c r="G177" s="3"/>
      <c r="H177" s="3"/>
      <c r="I177" s="3"/>
      <c r="J177" s="3"/>
      <c r="K177" s="3"/>
      <c r="L177" s="3" t="s">
        <v>90</v>
      </c>
      <c r="M177" s="3">
        <v>50</v>
      </c>
      <c r="N177" s="3" t="s">
        <v>107</v>
      </c>
      <c r="O177" s="3"/>
      <c r="P177" s="3"/>
      <c r="Q177" s="3">
        <v>14.427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89</v>
      </c>
      <c r="C178" s="3" t="s">
        <v>127</v>
      </c>
      <c r="D178" s="3"/>
      <c r="E178" s="3" t="s">
        <v>127</v>
      </c>
      <c r="F178" s="3"/>
      <c r="G178" s="3"/>
      <c r="H178" s="3"/>
      <c r="I178" s="3"/>
      <c r="J178" s="3"/>
      <c r="K178" s="3"/>
      <c r="L178" s="3" t="s">
        <v>90</v>
      </c>
      <c r="M178" s="3">
        <v>60</v>
      </c>
      <c r="N178" s="3" t="s">
        <v>18</v>
      </c>
      <c r="O178" s="3"/>
      <c r="P178" s="3"/>
      <c r="Q178" s="3">
        <v>88.727000000000004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89</v>
      </c>
      <c r="C179" s="3" t="s">
        <v>127</v>
      </c>
      <c r="D179" s="3"/>
      <c r="E179" s="3" t="s">
        <v>127</v>
      </c>
      <c r="F179" s="3"/>
      <c r="G179" s="3"/>
      <c r="H179" s="3"/>
      <c r="I179" s="3"/>
      <c r="J179" s="3"/>
      <c r="K179" s="3"/>
      <c r="L179" s="3" t="s">
        <v>90</v>
      </c>
      <c r="M179" s="3">
        <v>70</v>
      </c>
      <c r="N179" s="3" t="s">
        <v>113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89</v>
      </c>
      <c r="C180" s="3" t="s">
        <v>127</v>
      </c>
      <c r="D180" s="3"/>
      <c r="E180" s="3" t="s">
        <v>127</v>
      </c>
      <c r="F180" s="3"/>
      <c r="G180" s="3"/>
      <c r="H180" s="3"/>
      <c r="I180" s="3"/>
      <c r="J180" s="3"/>
      <c r="K180" s="3"/>
      <c r="L180" s="3" t="s">
        <v>90</v>
      </c>
      <c r="M180" s="3">
        <v>80</v>
      </c>
      <c r="N180" s="3" t="s">
        <v>21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89</v>
      </c>
      <c r="C181" s="3" t="s">
        <v>127</v>
      </c>
      <c r="D181" s="3"/>
      <c r="E181" s="3" t="s">
        <v>127</v>
      </c>
      <c r="F181" s="3"/>
      <c r="G181" s="3"/>
      <c r="H181" s="3"/>
      <c r="I181" s="3"/>
      <c r="J181" s="3"/>
      <c r="K181" s="3"/>
      <c r="L181" s="3" t="s">
        <v>90</v>
      </c>
      <c r="M181" s="3">
        <v>90</v>
      </c>
      <c r="N181" s="3" t="s">
        <v>22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89</v>
      </c>
      <c r="C182" s="3" t="s">
        <v>127</v>
      </c>
      <c r="D182" s="3"/>
      <c r="E182" s="3" t="s">
        <v>127</v>
      </c>
      <c r="F182" s="3"/>
      <c r="G182" s="3"/>
      <c r="H182" s="3"/>
      <c r="I182" s="3"/>
      <c r="J182" s="3"/>
      <c r="K182" s="3"/>
      <c r="L182" s="3" t="s">
        <v>90</v>
      </c>
      <c r="M182" s="3">
        <v>100</v>
      </c>
      <c r="N182" s="3" t="s">
        <v>23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89</v>
      </c>
      <c r="C183" s="3" t="s">
        <v>127</v>
      </c>
      <c r="D183" s="3"/>
      <c r="E183" s="3" t="s">
        <v>127</v>
      </c>
      <c r="F183" s="3"/>
      <c r="G183" s="3"/>
      <c r="H183" s="3"/>
      <c r="I183" s="3"/>
      <c r="J183" s="3"/>
      <c r="K183" s="3"/>
      <c r="L183" s="3" t="s">
        <v>90</v>
      </c>
      <c r="M183" s="3">
        <v>110</v>
      </c>
      <c r="N183" s="3" t="s">
        <v>111</v>
      </c>
      <c r="O183" s="3"/>
      <c r="P183" s="3"/>
      <c r="Q183" s="3">
        <v>0.98599999999999999</v>
      </c>
      <c r="R183" s="3" t="s">
        <v>13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89</v>
      </c>
      <c r="C184" s="3" t="s">
        <v>127</v>
      </c>
      <c r="D184" s="3"/>
      <c r="E184" s="3" t="s">
        <v>127</v>
      </c>
      <c r="F184" s="3"/>
      <c r="G184" s="3"/>
      <c r="H184" s="3"/>
      <c r="I184" s="3"/>
      <c r="J184" s="3"/>
      <c r="K184" s="3"/>
      <c r="L184" s="3" t="s">
        <v>90</v>
      </c>
      <c r="M184" s="3">
        <v>120</v>
      </c>
      <c r="N184" s="3" t="s">
        <v>167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89</v>
      </c>
      <c r="C185" s="3" t="s">
        <v>128</v>
      </c>
      <c r="D185" s="3"/>
      <c r="E185" s="3" t="s">
        <v>128</v>
      </c>
      <c r="F185" s="3"/>
      <c r="G185" s="3"/>
      <c r="H185" s="3"/>
      <c r="I185" s="3"/>
      <c r="J185" s="3"/>
      <c r="K185" s="3"/>
      <c r="L185" s="3" t="s">
        <v>90</v>
      </c>
      <c r="M185" s="3">
        <v>10</v>
      </c>
      <c r="N185" s="3" t="s">
        <v>278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89</v>
      </c>
      <c r="C186" s="3" t="s">
        <v>128</v>
      </c>
      <c r="D186" s="3"/>
      <c r="E186" s="3" t="s">
        <v>128</v>
      </c>
      <c r="F186" s="3"/>
      <c r="G186" s="3"/>
      <c r="H186" s="3"/>
      <c r="I186" s="3"/>
      <c r="J186" s="3"/>
      <c r="K186" s="3"/>
      <c r="L186" s="3" t="s">
        <v>90</v>
      </c>
      <c r="M186" s="3">
        <v>20</v>
      </c>
      <c r="N186" s="3" t="s">
        <v>109</v>
      </c>
      <c r="O186" s="3"/>
      <c r="P186" s="3"/>
      <c r="Q186" s="3">
        <v>1.778</v>
      </c>
      <c r="R186" s="3" t="s">
        <v>15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89</v>
      </c>
      <c r="C187" s="3" t="s">
        <v>128</v>
      </c>
      <c r="D187" s="3"/>
      <c r="E187" s="3" t="s">
        <v>128</v>
      </c>
      <c r="F187" s="3"/>
      <c r="G187" s="3"/>
      <c r="H187" s="3"/>
      <c r="I187" s="3"/>
      <c r="J187" s="3"/>
      <c r="K187" s="3"/>
      <c r="L187" s="3" t="s">
        <v>90</v>
      </c>
      <c r="M187" s="3">
        <v>30</v>
      </c>
      <c r="N187" s="3" t="s">
        <v>110</v>
      </c>
      <c r="O187" s="3"/>
      <c r="P187" s="3"/>
      <c r="Q187" s="3">
        <v>1.778</v>
      </c>
      <c r="R187" s="3" t="s">
        <v>15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89</v>
      </c>
      <c r="C188" s="3" t="s">
        <v>128</v>
      </c>
      <c r="D188" s="3"/>
      <c r="E188" s="3" t="s">
        <v>128</v>
      </c>
      <c r="F188" s="3"/>
      <c r="G188" s="3"/>
      <c r="H188" s="3"/>
      <c r="I188" s="3"/>
      <c r="J188" s="3"/>
      <c r="K188" s="3"/>
      <c r="L188" s="3" t="s">
        <v>90</v>
      </c>
      <c r="M188" s="3">
        <v>40</v>
      </c>
      <c r="N188" s="3" t="s">
        <v>105</v>
      </c>
      <c r="O188" s="3"/>
      <c r="P188" s="3"/>
      <c r="Q188" s="3">
        <v>0.50900000000000001</v>
      </c>
      <c r="R188" s="3" t="s">
        <v>106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89</v>
      </c>
      <c r="C189" s="3" t="s">
        <v>128</v>
      </c>
      <c r="D189" s="3"/>
      <c r="E189" s="3" t="s">
        <v>128</v>
      </c>
      <c r="F189" s="3"/>
      <c r="G189" s="3"/>
      <c r="H189" s="3"/>
      <c r="I189" s="3"/>
      <c r="J189" s="3"/>
      <c r="K189" s="3"/>
      <c r="L189" s="3" t="s">
        <v>90</v>
      </c>
      <c r="M189" s="3">
        <v>50</v>
      </c>
      <c r="N189" s="3" t="s">
        <v>107</v>
      </c>
      <c r="O189" s="3"/>
      <c r="P189" s="3"/>
      <c r="Q189" s="3">
        <v>15.037000000000001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89</v>
      </c>
      <c r="C190" s="3" t="s">
        <v>128</v>
      </c>
      <c r="D190" s="3"/>
      <c r="E190" s="3" t="s">
        <v>128</v>
      </c>
      <c r="F190" s="3"/>
      <c r="G190" s="3"/>
      <c r="H190" s="3"/>
      <c r="I190" s="3"/>
      <c r="J190" s="3"/>
      <c r="K190" s="3"/>
      <c r="L190" s="3" t="s">
        <v>90</v>
      </c>
      <c r="M190" s="3">
        <v>60</v>
      </c>
      <c r="N190" s="3" t="s">
        <v>18</v>
      </c>
      <c r="O190" s="3"/>
      <c r="P190" s="3"/>
      <c r="Q190" s="3">
        <v>92.475999999999999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89</v>
      </c>
      <c r="C191" s="3" t="s">
        <v>128</v>
      </c>
      <c r="D191" s="3"/>
      <c r="E191" s="3" t="s">
        <v>128</v>
      </c>
      <c r="F191" s="3"/>
      <c r="G191" s="3"/>
      <c r="H191" s="3"/>
      <c r="I191" s="3"/>
      <c r="J191" s="3"/>
      <c r="K191" s="3"/>
      <c r="L191" s="3" t="s">
        <v>90</v>
      </c>
      <c r="M191" s="3">
        <v>70</v>
      </c>
      <c r="N191" s="3" t="s">
        <v>113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89</v>
      </c>
      <c r="C192" s="3" t="s">
        <v>128</v>
      </c>
      <c r="D192" s="3"/>
      <c r="E192" s="3" t="s">
        <v>128</v>
      </c>
      <c r="F192" s="3"/>
      <c r="G192" s="3"/>
      <c r="H192" s="3"/>
      <c r="I192" s="3"/>
      <c r="J192" s="3"/>
      <c r="K192" s="3"/>
      <c r="L192" s="3" t="s">
        <v>90</v>
      </c>
      <c r="M192" s="3">
        <v>80</v>
      </c>
      <c r="N192" s="3" t="s">
        <v>21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89</v>
      </c>
      <c r="C193" s="3" t="s">
        <v>128</v>
      </c>
      <c r="D193" s="3"/>
      <c r="E193" s="3" t="s">
        <v>128</v>
      </c>
      <c r="F193" s="3"/>
      <c r="G193" s="3"/>
      <c r="H193" s="3"/>
      <c r="I193" s="3"/>
      <c r="J193" s="3"/>
      <c r="K193" s="3"/>
      <c r="L193" s="3" t="s">
        <v>90</v>
      </c>
      <c r="M193" s="3">
        <v>90</v>
      </c>
      <c r="N193" s="3" t="s">
        <v>22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89</v>
      </c>
      <c r="C194" s="3" t="s">
        <v>128</v>
      </c>
      <c r="D194" s="3"/>
      <c r="E194" s="3" t="s">
        <v>128</v>
      </c>
      <c r="F194" s="3"/>
      <c r="G194" s="3"/>
      <c r="H194" s="3"/>
      <c r="I194" s="3"/>
      <c r="J194" s="3"/>
      <c r="K194" s="3"/>
      <c r="L194" s="3" t="s">
        <v>90</v>
      </c>
      <c r="M194" s="3">
        <v>100</v>
      </c>
      <c r="N194" s="3" t="s">
        <v>23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89</v>
      </c>
      <c r="C195" s="3" t="s">
        <v>128</v>
      </c>
      <c r="D195" s="3"/>
      <c r="E195" s="3" t="s">
        <v>128</v>
      </c>
      <c r="F195" s="3"/>
      <c r="G195" s="3"/>
      <c r="H195" s="3"/>
      <c r="I195" s="3"/>
      <c r="J195" s="3"/>
      <c r="K195" s="3"/>
      <c r="L195" s="3" t="s">
        <v>90</v>
      </c>
      <c r="M195" s="3">
        <v>110</v>
      </c>
      <c r="N195" s="3" t="s">
        <v>111</v>
      </c>
      <c r="O195" s="3"/>
      <c r="P195" s="3"/>
      <c r="Q195" s="3">
        <v>1.0669999999999999</v>
      </c>
      <c r="R195" s="3" t="s">
        <v>13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89</v>
      </c>
      <c r="C196" s="3" t="s">
        <v>128</v>
      </c>
      <c r="D196" s="3"/>
      <c r="E196" s="3" t="s">
        <v>128</v>
      </c>
      <c r="F196" s="3"/>
      <c r="G196" s="3"/>
      <c r="H196" s="3"/>
      <c r="I196" s="3"/>
      <c r="J196" s="3"/>
      <c r="K196" s="3"/>
      <c r="L196" s="3" t="s">
        <v>90</v>
      </c>
      <c r="M196" s="3">
        <v>120</v>
      </c>
      <c r="N196" s="3" t="s">
        <v>168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89</v>
      </c>
      <c r="C197" s="3" t="s">
        <v>129</v>
      </c>
      <c r="D197" s="3"/>
      <c r="E197" s="3" t="s">
        <v>129</v>
      </c>
      <c r="F197" s="3"/>
      <c r="G197" s="3"/>
      <c r="H197" s="3"/>
      <c r="I197" s="3"/>
      <c r="J197" s="3"/>
      <c r="K197" s="3"/>
      <c r="L197" s="3" t="s">
        <v>90</v>
      </c>
      <c r="M197" s="3">
        <v>10</v>
      </c>
      <c r="N197" s="3" t="s">
        <v>279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89</v>
      </c>
      <c r="C198" s="3" t="s">
        <v>129</v>
      </c>
      <c r="D198" s="3"/>
      <c r="E198" s="3" t="s">
        <v>129</v>
      </c>
      <c r="F198" s="3"/>
      <c r="G198" s="3"/>
      <c r="H198" s="3"/>
      <c r="I198" s="3"/>
      <c r="J198" s="3"/>
      <c r="K198" s="3"/>
      <c r="L198" s="3" t="s">
        <v>90</v>
      </c>
      <c r="M198" s="3">
        <v>20</v>
      </c>
      <c r="N198" s="3" t="s">
        <v>109</v>
      </c>
      <c r="O198" s="3"/>
      <c r="P198" s="3"/>
      <c r="Q198" s="3">
        <v>0.86399999999999999</v>
      </c>
      <c r="R198" s="3" t="s">
        <v>15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89</v>
      </c>
      <c r="C199" s="3" t="s">
        <v>129</v>
      </c>
      <c r="D199" s="3"/>
      <c r="E199" s="3" t="s">
        <v>129</v>
      </c>
      <c r="F199" s="3"/>
      <c r="G199" s="3"/>
      <c r="H199" s="3"/>
      <c r="I199" s="3"/>
      <c r="J199" s="3"/>
      <c r="K199" s="3"/>
      <c r="L199" s="3" t="s">
        <v>90</v>
      </c>
      <c r="M199" s="3">
        <v>30</v>
      </c>
      <c r="N199" s="3" t="s">
        <v>110</v>
      </c>
      <c r="O199" s="3"/>
      <c r="P199" s="3"/>
      <c r="Q199" s="3">
        <v>0.86399999999999999</v>
      </c>
      <c r="R199" s="3" t="s">
        <v>15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89</v>
      </c>
      <c r="C200" s="3" t="s">
        <v>129</v>
      </c>
      <c r="D200" s="3"/>
      <c r="E200" s="3" t="s">
        <v>129</v>
      </c>
      <c r="F200" s="3"/>
      <c r="G200" s="3"/>
      <c r="H200" s="3"/>
      <c r="I200" s="3"/>
      <c r="J200" s="3"/>
      <c r="K200" s="3"/>
      <c r="L200" s="3" t="s">
        <v>90</v>
      </c>
      <c r="M200" s="3">
        <v>40</v>
      </c>
      <c r="N200" s="3" t="s">
        <v>105</v>
      </c>
      <c r="O200" s="3"/>
      <c r="P200" s="3"/>
      <c r="Q200" s="3">
        <v>0.249</v>
      </c>
      <c r="R200" s="3" t="s">
        <v>106</v>
      </c>
      <c r="S200" s="3"/>
      <c r="T200" s="3">
        <v>10</v>
      </c>
      <c r="U200" s="3"/>
      <c r="V200" s="3" t="s">
        <v>14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89</v>
      </c>
      <c r="C201" s="3" t="s">
        <v>129</v>
      </c>
      <c r="D201" s="3"/>
      <c r="E201" s="3" t="s">
        <v>129</v>
      </c>
      <c r="F201" s="3"/>
      <c r="G201" s="3"/>
      <c r="H201" s="3"/>
      <c r="I201" s="3"/>
      <c r="J201" s="3"/>
      <c r="K201" s="3"/>
      <c r="L201" s="3" t="s">
        <v>90</v>
      </c>
      <c r="M201" s="3">
        <v>50</v>
      </c>
      <c r="N201" s="3" t="s">
        <v>107</v>
      </c>
      <c r="O201" s="3"/>
      <c r="P201" s="3"/>
      <c r="Q201" s="3">
        <v>11.683999999999999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89</v>
      </c>
      <c r="C202" s="3" t="s">
        <v>129</v>
      </c>
      <c r="D202" s="3"/>
      <c r="E202" s="3" t="s">
        <v>129</v>
      </c>
      <c r="F202" s="3"/>
      <c r="G202" s="3"/>
      <c r="H202" s="3"/>
      <c r="I202" s="3"/>
      <c r="J202" s="3"/>
      <c r="K202" s="3"/>
      <c r="L202" s="3" t="s">
        <v>90</v>
      </c>
      <c r="M202" s="3">
        <v>60</v>
      </c>
      <c r="N202" s="3" t="s">
        <v>18</v>
      </c>
      <c r="O202" s="3"/>
      <c r="P202" s="3"/>
      <c r="Q202" s="3">
        <v>71.856999999999999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89</v>
      </c>
      <c r="C203" s="3" t="s">
        <v>129</v>
      </c>
      <c r="D203" s="3"/>
      <c r="E203" s="3" t="s">
        <v>129</v>
      </c>
      <c r="F203" s="3"/>
      <c r="G203" s="3"/>
      <c r="H203" s="3"/>
      <c r="I203" s="3"/>
      <c r="J203" s="3"/>
      <c r="K203" s="3"/>
      <c r="L203" s="3" t="s">
        <v>90</v>
      </c>
      <c r="M203" s="3">
        <v>70</v>
      </c>
      <c r="N203" s="3" t="s">
        <v>113</v>
      </c>
      <c r="O203" s="3"/>
      <c r="P203" s="3"/>
      <c r="Q203" s="3">
        <v>4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89</v>
      </c>
      <c r="C204" s="3" t="s">
        <v>129</v>
      </c>
      <c r="D204" s="3"/>
      <c r="E204" s="3" t="s">
        <v>129</v>
      </c>
      <c r="F204" s="3"/>
      <c r="G204" s="3"/>
      <c r="H204" s="3"/>
      <c r="I204" s="3"/>
      <c r="J204" s="3"/>
      <c r="K204" s="3"/>
      <c r="L204" s="3" t="s">
        <v>90</v>
      </c>
      <c r="M204" s="3">
        <v>80</v>
      </c>
      <c r="N204" s="3" t="s">
        <v>21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89</v>
      </c>
      <c r="C205" s="3" t="s">
        <v>129</v>
      </c>
      <c r="D205" s="3"/>
      <c r="E205" s="3" t="s">
        <v>129</v>
      </c>
      <c r="F205" s="3"/>
      <c r="G205" s="3"/>
      <c r="H205" s="3"/>
      <c r="I205" s="3"/>
      <c r="J205" s="3"/>
      <c r="K205" s="3"/>
      <c r="L205" s="3" t="s">
        <v>90</v>
      </c>
      <c r="M205" s="3">
        <v>90</v>
      </c>
      <c r="N205" s="3" t="s">
        <v>22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89</v>
      </c>
      <c r="C206" s="3" t="s">
        <v>129</v>
      </c>
      <c r="D206" s="3"/>
      <c r="E206" s="3" t="s">
        <v>129</v>
      </c>
      <c r="F206" s="3"/>
      <c r="G206" s="3"/>
      <c r="H206" s="3"/>
      <c r="I206" s="3"/>
      <c r="J206" s="3"/>
      <c r="K206" s="3"/>
      <c r="L206" s="3" t="s">
        <v>90</v>
      </c>
      <c r="M206" s="3">
        <v>100</v>
      </c>
      <c r="N206" s="3" t="s">
        <v>23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89</v>
      </c>
      <c r="C207" s="3" t="s">
        <v>129</v>
      </c>
      <c r="D207" s="3"/>
      <c r="E207" s="3" t="s">
        <v>129</v>
      </c>
      <c r="F207" s="3"/>
      <c r="G207" s="3"/>
      <c r="H207" s="3"/>
      <c r="I207" s="3"/>
      <c r="J207" s="3"/>
      <c r="K207" s="3"/>
      <c r="L207" s="3" t="s">
        <v>90</v>
      </c>
      <c r="M207" s="3">
        <v>110</v>
      </c>
      <c r="N207" s="3" t="s">
        <v>111</v>
      </c>
      <c r="O207" s="3"/>
      <c r="P207" s="3"/>
      <c r="Q207" s="3">
        <v>0.58099999999999996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89</v>
      </c>
      <c r="C208" s="3" t="s">
        <v>129</v>
      </c>
      <c r="D208" s="3"/>
      <c r="E208" s="3" t="s">
        <v>129</v>
      </c>
      <c r="F208" s="3"/>
      <c r="G208" s="3"/>
      <c r="H208" s="3"/>
      <c r="I208" s="3"/>
      <c r="J208" s="3"/>
      <c r="K208" s="3"/>
      <c r="L208" s="3" t="s">
        <v>90</v>
      </c>
      <c r="M208" s="3">
        <v>120</v>
      </c>
      <c r="N208" s="3" t="s">
        <v>169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16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89</v>
      </c>
      <c r="C209" s="3" t="s">
        <v>130</v>
      </c>
      <c r="D209" s="3"/>
      <c r="E209" s="3" t="s">
        <v>130</v>
      </c>
      <c r="F209" s="3"/>
      <c r="G209" s="3"/>
      <c r="H209" s="3"/>
      <c r="I209" s="3"/>
      <c r="J209" s="3"/>
      <c r="K209" s="3"/>
      <c r="L209" s="3" t="s">
        <v>90</v>
      </c>
      <c r="M209" s="3">
        <v>10</v>
      </c>
      <c r="N209" s="3" t="s">
        <v>280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16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89</v>
      </c>
      <c r="C210" s="3" t="s">
        <v>130</v>
      </c>
      <c r="D210" s="3"/>
      <c r="E210" s="3" t="s">
        <v>130</v>
      </c>
      <c r="F210" s="3"/>
      <c r="G210" s="3"/>
      <c r="H210" s="3"/>
      <c r="I210" s="3"/>
      <c r="J210" s="3"/>
      <c r="K210" s="3"/>
      <c r="L210" s="3" t="s">
        <v>90</v>
      </c>
      <c r="M210" s="3">
        <v>20</v>
      </c>
      <c r="N210" s="3" t="s">
        <v>109</v>
      </c>
      <c r="O210" s="3"/>
      <c r="P210" s="3"/>
      <c r="Q210" s="3">
        <v>1.016</v>
      </c>
      <c r="R210" s="3" t="s">
        <v>15</v>
      </c>
      <c r="S210" s="3"/>
      <c r="T210" s="3">
        <v>10</v>
      </c>
      <c r="U210" s="3"/>
      <c r="V210" s="3" t="s">
        <v>16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89</v>
      </c>
      <c r="C211" s="3" t="s">
        <v>130</v>
      </c>
      <c r="D211" s="3"/>
      <c r="E211" s="3" t="s">
        <v>130</v>
      </c>
      <c r="F211" s="3"/>
      <c r="G211" s="3"/>
      <c r="H211" s="3"/>
      <c r="I211" s="3"/>
      <c r="J211" s="3"/>
      <c r="K211" s="3"/>
      <c r="L211" s="3" t="s">
        <v>90</v>
      </c>
      <c r="M211" s="3">
        <v>30</v>
      </c>
      <c r="N211" s="3" t="s">
        <v>110</v>
      </c>
      <c r="O211" s="3"/>
      <c r="P211" s="3"/>
      <c r="Q211" s="3">
        <v>1.016</v>
      </c>
      <c r="R211" s="3" t="s">
        <v>15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89</v>
      </c>
      <c r="C212" s="3" t="s">
        <v>130</v>
      </c>
      <c r="D212" s="3"/>
      <c r="E212" s="3" t="s">
        <v>130</v>
      </c>
      <c r="F212" s="3"/>
      <c r="G212" s="3"/>
      <c r="H212" s="3"/>
      <c r="I212" s="3"/>
      <c r="J212" s="3"/>
      <c r="K212" s="3"/>
      <c r="L212" s="3" t="s">
        <v>90</v>
      </c>
      <c r="M212" s="3">
        <v>40</v>
      </c>
      <c r="N212" s="3" t="s">
        <v>105</v>
      </c>
      <c r="O212" s="3"/>
      <c r="P212" s="3"/>
      <c r="Q212" s="3">
        <v>0.29599999999999999</v>
      </c>
      <c r="R212" s="3" t="s">
        <v>106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89</v>
      </c>
      <c r="C213" s="3" t="s">
        <v>130</v>
      </c>
      <c r="D213" s="3"/>
      <c r="E213" s="3" t="s">
        <v>130</v>
      </c>
      <c r="F213" s="3"/>
      <c r="G213" s="3"/>
      <c r="H213" s="3"/>
      <c r="I213" s="3"/>
      <c r="J213" s="3"/>
      <c r="K213" s="3"/>
      <c r="L213" s="3" t="s">
        <v>90</v>
      </c>
      <c r="M213" s="3">
        <v>50</v>
      </c>
      <c r="N213" s="3" t="s">
        <v>107</v>
      </c>
      <c r="O213" s="3"/>
      <c r="P213" s="3"/>
      <c r="Q213" s="3">
        <v>12.294</v>
      </c>
      <c r="R213" s="3" t="s">
        <v>15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89</v>
      </c>
      <c r="C214" s="3" t="s">
        <v>130</v>
      </c>
      <c r="D214" s="3"/>
      <c r="E214" s="3" t="s">
        <v>130</v>
      </c>
      <c r="F214" s="3"/>
      <c r="G214" s="3"/>
      <c r="H214" s="3"/>
      <c r="I214" s="3"/>
      <c r="J214" s="3"/>
      <c r="K214" s="3"/>
      <c r="L214" s="3" t="s">
        <v>90</v>
      </c>
      <c r="M214" s="3">
        <v>60</v>
      </c>
      <c r="N214" s="3" t="s">
        <v>18</v>
      </c>
      <c r="O214" s="3"/>
      <c r="P214" s="3"/>
      <c r="Q214" s="3">
        <v>75.605999999999995</v>
      </c>
      <c r="R214" s="3" t="s">
        <v>15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89</v>
      </c>
      <c r="C215" s="3" t="s">
        <v>130</v>
      </c>
      <c r="D215" s="3"/>
      <c r="E215" s="3" t="s">
        <v>130</v>
      </c>
      <c r="F215" s="3"/>
      <c r="G215" s="3"/>
      <c r="H215" s="3"/>
      <c r="I215" s="3"/>
      <c r="J215" s="3"/>
      <c r="K215" s="3"/>
      <c r="L215" s="3" t="s">
        <v>90</v>
      </c>
      <c r="M215" s="3">
        <v>70</v>
      </c>
      <c r="N215" s="3" t="s">
        <v>113</v>
      </c>
      <c r="O215" s="3"/>
      <c r="P215" s="3"/>
      <c r="Q215" s="3">
        <v>4</v>
      </c>
      <c r="R215" s="3" t="s">
        <v>11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89</v>
      </c>
      <c r="C216" s="3" t="s">
        <v>130</v>
      </c>
      <c r="D216" s="3"/>
      <c r="E216" s="3" t="s">
        <v>130</v>
      </c>
      <c r="F216" s="3"/>
      <c r="G216" s="3"/>
      <c r="H216" s="3"/>
      <c r="I216" s="3"/>
      <c r="J216" s="3"/>
      <c r="K216" s="3"/>
      <c r="L216" s="3" t="s">
        <v>90</v>
      </c>
      <c r="M216" s="3">
        <v>80</v>
      </c>
      <c r="N216" s="3" t="s">
        <v>21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89</v>
      </c>
      <c r="C217" s="3" t="s">
        <v>130</v>
      </c>
      <c r="D217" s="3"/>
      <c r="E217" s="3" t="s">
        <v>130</v>
      </c>
      <c r="F217" s="3"/>
      <c r="G217" s="3"/>
      <c r="H217" s="3"/>
      <c r="I217" s="3"/>
      <c r="J217" s="3"/>
      <c r="K217" s="3"/>
      <c r="L217" s="3" t="s">
        <v>90</v>
      </c>
      <c r="M217" s="3">
        <v>90</v>
      </c>
      <c r="N217" s="3" t="s">
        <v>22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89</v>
      </c>
      <c r="C218" s="3" t="s">
        <v>130</v>
      </c>
      <c r="D218" s="3"/>
      <c r="E218" s="3" t="s">
        <v>130</v>
      </c>
      <c r="F218" s="3"/>
      <c r="G218" s="3"/>
      <c r="H218" s="3"/>
      <c r="I218" s="3"/>
      <c r="J218" s="3"/>
      <c r="K218" s="3"/>
      <c r="L218" s="3" t="s">
        <v>90</v>
      </c>
      <c r="M218" s="3">
        <v>100</v>
      </c>
      <c r="N218" s="3" t="s">
        <v>23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89</v>
      </c>
      <c r="C219" s="3" t="s">
        <v>130</v>
      </c>
      <c r="D219" s="3"/>
      <c r="E219" s="3" t="s">
        <v>130</v>
      </c>
      <c r="F219" s="3"/>
      <c r="G219" s="3"/>
      <c r="H219" s="3"/>
      <c r="I219" s="3"/>
      <c r="J219" s="3"/>
      <c r="K219" s="3"/>
      <c r="L219" s="3" t="s">
        <v>90</v>
      </c>
      <c r="M219" s="3">
        <v>110</v>
      </c>
      <c r="N219" s="3" t="s">
        <v>111</v>
      </c>
      <c r="O219" s="3"/>
      <c r="P219" s="3"/>
      <c r="Q219" s="3">
        <v>0.66200000000000003</v>
      </c>
      <c r="R219" s="3" t="s">
        <v>13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89</v>
      </c>
      <c r="C220" s="3" t="s">
        <v>130</v>
      </c>
      <c r="D220" s="3"/>
      <c r="E220" s="3" t="s">
        <v>130</v>
      </c>
      <c r="F220" s="3"/>
      <c r="G220" s="3"/>
      <c r="H220" s="3"/>
      <c r="I220" s="3"/>
      <c r="J220" s="3"/>
      <c r="K220" s="3"/>
      <c r="L220" s="3" t="s">
        <v>90</v>
      </c>
      <c r="M220" s="3">
        <v>120</v>
      </c>
      <c r="N220" s="3" t="s">
        <v>170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16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89</v>
      </c>
      <c r="C221" s="3" t="s">
        <v>131</v>
      </c>
      <c r="D221" s="3"/>
      <c r="E221" s="3" t="s">
        <v>131</v>
      </c>
      <c r="F221" s="3"/>
      <c r="G221" s="3"/>
      <c r="H221" s="3"/>
      <c r="I221" s="3"/>
      <c r="J221" s="3"/>
      <c r="K221" s="3"/>
      <c r="L221" s="3" t="s">
        <v>90</v>
      </c>
      <c r="M221" s="3">
        <v>10</v>
      </c>
      <c r="N221" s="3" t="s">
        <v>281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16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89</v>
      </c>
      <c r="C222" s="3" t="s">
        <v>131</v>
      </c>
      <c r="D222" s="3"/>
      <c r="E222" s="3" t="s">
        <v>131</v>
      </c>
      <c r="F222" s="3"/>
      <c r="G222" s="3"/>
      <c r="H222" s="3"/>
      <c r="I222" s="3"/>
      <c r="J222" s="3"/>
      <c r="K222" s="3"/>
      <c r="L222" s="3" t="s">
        <v>90</v>
      </c>
      <c r="M222" s="3">
        <v>20</v>
      </c>
      <c r="N222" s="3" t="s">
        <v>109</v>
      </c>
      <c r="O222" s="3"/>
      <c r="P222" s="3"/>
      <c r="Q222" s="3">
        <v>1.1679999999999999</v>
      </c>
      <c r="R222" s="3" t="s">
        <v>15</v>
      </c>
      <c r="S222" s="3"/>
      <c r="T222" s="3">
        <v>10</v>
      </c>
      <c r="U222" s="3"/>
      <c r="V222" s="3" t="s">
        <v>16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89</v>
      </c>
      <c r="C223" s="3" t="s">
        <v>131</v>
      </c>
      <c r="D223" s="3"/>
      <c r="E223" s="3" t="s">
        <v>131</v>
      </c>
      <c r="F223" s="3"/>
      <c r="G223" s="3"/>
      <c r="H223" s="3"/>
      <c r="I223" s="3"/>
      <c r="J223" s="3"/>
      <c r="K223" s="3"/>
      <c r="L223" s="3" t="s">
        <v>90</v>
      </c>
      <c r="M223" s="3">
        <v>30</v>
      </c>
      <c r="N223" s="3" t="s">
        <v>110</v>
      </c>
      <c r="O223" s="3"/>
      <c r="P223" s="3"/>
      <c r="Q223" s="3">
        <v>1.1679999999999999</v>
      </c>
      <c r="R223" s="3" t="s">
        <v>15</v>
      </c>
      <c r="S223" s="3"/>
      <c r="T223" s="3">
        <v>10</v>
      </c>
      <c r="U223" s="3"/>
      <c r="V223" s="3" t="s">
        <v>16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89</v>
      </c>
      <c r="C224" s="3" t="s">
        <v>131</v>
      </c>
      <c r="D224" s="3"/>
      <c r="E224" s="3" t="s">
        <v>131</v>
      </c>
      <c r="F224" s="3"/>
      <c r="G224" s="3"/>
      <c r="H224" s="3"/>
      <c r="I224" s="3"/>
      <c r="J224" s="3"/>
      <c r="K224" s="3"/>
      <c r="L224" s="3" t="s">
        <v>90</v>
      </c>
      <c r="M224" s="3">
        <v>40</v>
      </c>
      <c r="N224" s="3" t="s">
        <v>105</v>
      </c>
      <c r="O224" s="3"/>
      <c r="P224" s="3"/>
      <c r="Q224" s="3">
        <v>0.34300000000000003</v>
      </c>
      <c r="R224" s="3" t="s">
        <v>106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89</v>
      </c>
      <c r="C225" s="3" t="s">
        <v>131</v>
      </c>
      <c r="D225" s="3"/>
      <c r="E225" s="3" t="s">
        <v>131</v>
      </c>
      <c r="F225" s="3"/>
      <c r="G225" s="3"/>
      <c r="H225" s="3"/>
      <c r="I225" s="3"/>
      <c r="J225" s="3"/>
      <c r="K225" s="3"/>
      <c r="L225" s="3" t="s">
        <v>90</v>
      </c>
      <c r="M225" s="3">
        <v>50</v>
      </c>
      <c r="N225" s="3" t="s">
        <v>107</v>
      </c>
      <c r="O225" s="3"/>
      <c r="P225" s="3"/>
      <c r="Q225" s="3">
        <v>12.903</v>
      </c>
      <c r="R225" s="3" t="s">
        <v>15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89</v>
      </c>
      <c r="C226" s="3" t="s">
        <v>131</v>
      </c>
      <c r="D226" s="3"/>
      <c r="E226" s="3" t="s">
        <v>131</v>
      </c>
      <c r="F226" s="3"/>
      <c r="G226" s="3"/>
      <c r="H226" s="3"/>
      <c r="I226" s="3"/>
      <c r="J226" s="3"/>
      <c r="K226" s="3"/>
      <c r="L226" s="3" t="s">
        <v>90</v>
      </c>
      <c r="M226" s="3">
        <v>60</v>
      </c>
      <c r="N226" s="3" t="s">
        <v>18</v>
      </c>
      <c r="O226" s="3"/>
      <c r="P226" s="3"/>
      <c r="Q226" s="3">
        <v>79.355000000000004</v>
      </c>
      <c r="R226" s="3" t="s">
        <v>15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89</v>
      </c>
      <c r="C227" s="3" t="s">
        <v>131</v>
      </c>
      <c r="D227" s="3"/>
      <c r="E227" s="3" t="s">
        <v>131</v>
      </c>
      <c r="F227" s="3"/>
      <c r="G227" s="3"/>
      <c r="H227" s="3"/>
      <c r="I227" s="3"/>
      <c r="J227" s="3"/>
      <c r="K227" s="3"/>
      <c r="L227" s="3" t="s">
        <v>90</v>
      </c>
      <c r="M227" s="3">
        <v>70</v>
      </c>
      <c r="N227" s="3" t="s">
        <v>113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89</v>
      </c>
      <c r="C228" s="3" t="s">
        <v>131</v>
      </c>
      <c r="D228" s="3"/>
      <c r="E228" s="3" t="s">
        <v>131</v>
      </c>
      <c r="F228" s="3"/>
      <c r="G228" s="3"/>
      <c r="H228" s="3"/>
      <c r="I228" s="3"/>
      <c r="J228" s="3"/>
      <c r="K228" s="3"/>
      <c r="L228" s="3" t="s">
        <v>90</v>
      </c>
      <c r="M228" s="3">
        <v>80</v>
      </c>
      <c r="N228" s="3" t="s">
        <v>21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89</v>
      </c>
      <c r="C229" s="3" t="s">
        <v>131</v>
      </c>
      <c r="D229" s="3"/>
      <c r="E229" s="3" t="s">
        <v>131</v>
      </c>
      <c r="F229" s="3"/>
      <c r="G229" s="3"/>
      <c r="H229" s="3"/>
      <c r="I229" s="3"/>
      <c r="J229" s="3"/>
      <c r="K229" s="3"/>
      <c r="L229" s="3" t="s">
        <v>90</v>
      </c>
      <c r="M229" s="3">
        <v>90</v>
      </c>
      <c r="N229" s="3" t="s">
        <v>22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89</v>
      </c>
      <c r="C230" s="3" t="s">
        <v>131</v>
      </c>
      <c r="D230" s="3"/>
      <c r="E230" s="3" t="s">
        <v>131</v>
      </c>
      <c r="F230" s="3"/>
      <c r="G230" s="3"/>
      <c r="H230" s="3"/>
      <c r="I230" s="3"/>
      <c r="J230" s="3"/>
      <c r="K230" s="3"/>
      <c r="L230" s="3" t="s">
        <v>90</v>
      </c>
      <c r="M230" s="3">
        <v>100</v>
      </c>
      <c r="N230" s="3" t="s">
        <v>23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89</v>
      </c>
      <c r="C231" s="3" t="s">
        <v>131</v>
      </c>
      <c r="D231" s="3"/>
      <c r="E231" s="3" t="s">
        <v>131</v>
      </c>
      <c r="F231" s="3"/>
      <c r="G231" s="3"/>
      <c r="H231" s="3"/>
      <c r="I231" s="3"/>
      <c r="J231" s="3"/>
      <c r="K231" s="3"/>
      <c r="L231" s="3" t="s">
        <v>90</v>
      </c>
      <c r="M231" s="3">
        <v>110</v>
      </c>
      <c r="N231" s="3" t="s">
        <v>111</v>
      </c>
      <c r="O231" s="3"/>
      <c r="P231" s="3"/>
      <c r="Q231" s="3">
        <v>0.74299999999999999</v>
      </c>
      <c r="R231" s="3" t="s">
        <v>13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89</v>
      </c>
      <c r="C232" s="3" t="s">
        <v>131</v>
      </c>
      <c r="D232" s="3"/>
      <c r="E232" s="3" t="s">
        <v>131</v>
      </c>
      <c r="F232" s="3"/>
      <c r="G232" s="3"/>
      <c r="H232" s="3"/>
      <c r="I232" s="3"/>
      <c r="J232" s="3"/>
      <c r="K232" s="3"/>
      <c r="L232" s="3" t="s">
        <v>90</v>
      </c>
      <c r="M232" s="3">
        <v>120</v>
      </c>
      <c r="N232" s="3" t="s">
        <v>171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89</v>
      </c>
      <c r="C233" s="3" t="s">
        <v>132</v>
      </c>
      <c r="D233" s="3"/>
      <c r="E233" s="3" t="s">
        <v>132</v>
      </c>
      <c r="F233" s="3"/>
      <c r="G233" s="3"/>
      <c r="H233" s="3"/>
      <c r="I233" s="3"/>
      <c r="J233" s="3"/>
      <c r="K233" s="3"/>
      <c r="L233" s="3" t="s">
        <v>90</v>
      </c>
      <c r="M233" s="3">
        <v>10</v>
      </c>
      <c r="N233" s="3" t="s">
        <v>282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89</v>
      </c>
      <c r="C234" s="3" t="s">
        <v>132</v>
      </c>
      <c r="D234" s="3"/>
      <c r="E234" s="3" t="s">
        <v>132</v>
      </c>
      <c r="F234" s="3"/>
      <c r="G234" s="3"/>
      <c r="H234" s="3"/>
      <c r="I234" s="3"/>
      <c r="J234" s="3"/>
      <c r="K234" s="3"/>
      <c r="L234" s="3" t="s">
        <v>90</v>
      </c>
      <c r="M234" s="3">
        <v>20</v>
      </c>
      <c r="N234" s="3" t="s">
        <v>109</v>
      </c>
      <c r="O234" s="3"/>
      <c r="P234" s="3"/>
      <c r="Q234" s="3">
        <v>1.321</v>
      </c>
      <c r="R234" s="3" t="s">
        <v>15</v>
      </c>
      <c r="S234" s="3"/>
      <c r="T234" s="3">
        <v>10</v>
      </c>
      <c r="U234" s="3"/>
      <c r="V234" s="3" t="s">
        <v>16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89</v>
      </c>
      <c r="C235" s="3" t="s">
        <v>132</v>
      </c>
      <c r="D235" s="3"/>
      <c r="E235" s="3" t="s">
        <v>132</v>
      </c>
      <c r="F235" s="3"/>
      <c r="G235" s="3"/>
      <c r="H235" s="3"/>
      <c r="I235" s="3"/>
      <c r="J235" s="3"/>
      <c r="K235" s="3"/>
      <c r="L235" s="3" t="s">
        <v>90</v>
      </c>
      <c r="M235" s="3">
        <v>30</v>
      </c>
      <c r="N235" s="3" t="s">
        <v>110</v>
      </c>
      <c r="O235" s="3"/>
      <c r="P235" s="3"/>
      <c r="Q235" s="3">
        <v>1.321</v>
      </c>
      <c r="R235" s="3" t="s">
        <v>15</v>
      </c>
      <c r="S235" s="3"/>
      <c r="T235" s="3">
        <v>10</v>
      </c>
      <c r="U235" s="3"/>
      <c r="V235" s="3" t="s">
        <v>16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89</v>
      </c>
      <c r="C236" s="3" t="s">
        <v>132</v>
      </c>
      <c r="D236" s="3"/>
      <c r="E236" s="3" t="s">
        <v>132</v>
      </c>
      <c r="F236" s="3"/>
      <c r="G236" s="3"/>
      <c r="H236" s="3"/>
      <c r="I236" s="3"/>
      <c r="J236" s="3"/>
      <c r="K236" s="3"/>
      <c r="L236" s="3" t="s">
        <v>90</v>
      </c>
      <c r="M236" s="3">
        <v>40</v>
      </c>
      <c r="N236" s="3" t="s">
        <v>105</v>
      </c>
      <c r="O236" s="3"/>
      <c r="P236" s="3"/>
      <c r="Q236" s="3">
        <v>0.39</v>
      </c>
      <c r="R236" s="3" t="s">
        <v>106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89</v>
      </c>
      <c r="C237" s="3" t="s">
        <v>132</v>
      </c>
      <c r="D237" s="3"/>
      <c r="E237" s="3" t="s">
        <v>132</v>
      </c>
      <c r="F237" s="3"/>
      <c r="G237" s="3"/>
      <c r="H237" s="3"/>
      <c r="I237" s="3"/>
      <c r="J237" s="3"/>
      <c r="K237" s="3"/>
      <c r="L237" s="3" t="s">
        <v>90</v>
      </c>
      <c r="M237" s="3">
        <v>50</v>
      </c>
      <c r="N237" s="3" t="s">
        <v>107</v>
      </c>
      <c r="O237" s="3"/>
      <c r="P237" s="3"/>
      <c r="Q237" s="3">
        <v>13.513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89</v>
      </c>
      <c r="C238" s="3" t="s">
        <v>132</v>
      </c>
      <c r="D238" s="3"/>
      <c r="E238" s="3" t="s">
        <v>132</v>
      </c>
      <c r="F238" s="3"/>
      <c r="G238" s="3"/>
      <c r="H238" s="3"/>
      <c r="I238" s="3"/>
      <c r="J238" s="3"/>
      <c r="K238" s="3"/>
      <c r="L238" s="3" t="s">
        <v>90</v>
      </c>
      <c r="M238" s="3">
        <v>60</v>
      </c>
      <c r="N238" s="3" t="s">
        <v>18</v>
      </c>
      <c r="O238" s="3"/>
      <c r="P238" s="3"/>
      <c r="Q238" s="3">
        <v>83.103999999999999</v>
      </c>
      <c r="R238" s="3" t="s">
        <v>15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89</v>
      </c>
      <c r="C239" s="3" t="s">
        <v>132</v>
      </c>
      <c r="D239" s="3"/>
      <c r="E239" s="3" t="s">
        <v>132</v>
      </c>
      <c r="F239" s="3"/>
      <c r="G239" s="3"/>
      <c r="H239" s="3"/>
      <c r="I239" s="3"/>
      <c r="J239" s="3"/>
      <c r="K239" s="3"/>
      <c r="L239" s="3" t="s">
        <v>90</v>
      </c>
      <c r="M239" s="3">
        <v>70</v>
      </c>
      <c r="N239" s="3" t="s">
        <v>113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89</v>
      </c>
      <c r="C240" s="3" t="s">
        <v>132</v>
      </c>
      <c r="D240" s="3"/>
      <c r="E240" s="3" t="s">
        <v>132</v>
      </c>
      <c r="F240" s="3"/>
      <c r="G240" s="3"/>
      <c r="H240" s="3"/>
      <c r="I240" s="3"/>
      <c r="J240" s="3"/>
      <c r="K240" s="3"/>
      <c r="L240" s="3" t="s">
        <v>90</v>
      </c>
      <c r="M240" s="3">
        <v>80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89</v>
      </c>
      <c r="C241" s="3" t="s">
        <v>132</v>
      </c>
      <c r="D241" s="3"/>
      <c r="E241" s="3" t="s">
        <v>132</v>
      </c>
      <c r="F241" s="3"/>
      <c r="G241" s="3"/>
      <c r="H241" s="3"/>
      <c r="I241" s="3"/>
      <c r="J241" s="3"/>
      <c r="K241" s="3"/>
      <c r="L241" s="3" t="s">
        <v>90</v>
      </c>
      <c r="M241" s="3">
        <v>90</v>
      </c>
      <c r="N241" s="3" t="s">
        <v>22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89</v>
      </c>
      <c r="C242" s="3" t="s">
        <v>132</v>
      </c>
      <c r="D242" s="3"/>
      <c r="E242" s="3" t="s">
        <v>132</v>
      </c>
      <c r="F242" s="3"/>
      <c r="G242" s="3"/>
      <c r="H242" s="3"/>
      <c r="I242" s="3"/>
      <c r="J242" s="3"/>
      <c r="K242" s="3"/>
      <c r="L242" s="3" t="s">
        <v>90</v>
      </c>
      <c r="M242" s="3">
        <v>100</v>
      </c>
      <c r="N242" s="3" t="s">
        <v>23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89</v>
      </c>
      <c r="C243" s="3" t="s">
        <v>132</v>
      </c>
      <c r="D243" s="3"/>
      <c r="E243" s="3" t="s">
        <v>132</v>
      </c>
      <c r="F243" s="3"/>
      <c r="G243" s="3"/>
      <c r="H243" s="3"/>
      <c r="I243" s="3"/>
      <c r="J243" s="3"/>
      <c r="K243" s="3"/>
      <c r="L243" s="3" t="s">
        <v>90</v>
      </c>
      <c r="M243" s="3">
        <v>110</v>
      </c>
      <c r="N243" s="3" t="s">
        <v>111</v>
      </c>
      <c r="O243" s="3"/>
      <c r="P243" s="3"/>
      <c r="Q243" s="3">
        <v>0.82399999999999995</v>
      </c>
      <c r="R243" s="3" t="s">
        <v>13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89</v>
      </c>
      <c r="C244" s="3" t="s">
        <v>132</v>
      </c>
      <c r="D244" s="3"/>
      <c r="E244" s="3" t="s">
        <v>132</v>
      </c>
      <c r="F244" s="3"/>
      <c r="G244" s="3"/>
      <c r="H244" s="3"/>
      <c r="I244" s="3"/>
      <c r="J244" s="3"/>
      <c r="K244" s="3"/>
      <c r="L244" s="3" t="s">
        <v>90</v>
      </c>
      <c r="M244" s="3">
        <v>120</v>
      </c>
      <c r="N244" s="3" t="s">
        <v>172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89</v>
      </c>
      <c r="C245" s="3" t="s">
        <v>133</v>
      </c>
      <c r="D245" s="3"/>
      <c r="E245" s="3" t="s">
        <v>133</v>
      </c>
      <c r="F245" s="3"/>
      <c r="G245" s="3"/>
      <c r="H245" s="3"/>
      <c r="I245" s="3"/>
      <c r="J245" s="3"/>
      <c r="K245" s="3"/>
      <c r="L245" s="3" t="s">
        <v>90</v>
      </c>
      <c r="M245" s="3">
        <v>10</v>
      </c>
      <c r="N245" s="3" t="s">
        <v>283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89</v>
      </c>
      <c r="C246" s="3" t="s">
        <v>133</v>
      </c>
      <c r="D246" s="3"/>
      <c r="E246" s="3" t="s">
        <v>133</v>
      </c>
      <c r="F246" s="3"/>
      <c r="G246" s="3"/>
      <c r="H246" s="3"/>
      <c r="I246" s="3"/>
      <c r="J246" s="3"/>
      <c r="K246" s="3"/>
      <c r="L246" s="3" t="s">
        <v>90</v>
      </c>
      <c r="M246" s="3">
        <v>20</v>
      </c>
      <c r="N246" s="3" t="s">
        <v>109</v>
      </c>
      <c r="O246" s="3"/>
      <c r="P246" s="3"/>
      <c r="Q246" s="3">
        <v>1.397</v>
      </c>
      <c r="R246" s="3" t="s">
        <v>15</v>
      </c>
      <c r="S246" s="3"/>
      <c r="T246" s="3">
        <v>10</v>
      </c>
      <c r="U246" s="3"/>
      <c r="V246" s="3" t="s">
        <v>16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89</v>
      </c>
      <c r="C247" s="3" t="s">
        <v>133</v>
      </c>
      <c r="D247" s="3"/>
      <c r="E247" s="3" t="s">
        <v>133</v>
      </c>
      <c r="F247" s="3"/>
      <c r="G247" s="3"/>
      <c r="H247" s="3"/>
      <c r="I247" s="3"/>
      <c r="J247" s="3"/>
      <c r="K247" s="3"/>
      <c r="L247" s="3" t="s">
        <v>90</v>
      </c>
      <c r="M247" s="3">
        <v>30</v>
      </c>
      <c r="N247" s="3" t="s">
        <v>110</v>
      </c>
      <c r="O247" s="3"/>
      <c r="P247" s="3"/>
      <c r="Q247" s="3">
        <v>1.397</v>
      </c>
      <c r="R247" s="3" t="s">
        <v>15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89</v>
      </c>
      <c r="C248" s="3" t="s">
        <v>133</v>
      </c>
      <c r="D248" s="3"/>
      <c r="E248" s="3" t="s">
        <v>133</v>
      </c>
      <c r="F248" s="3"/>
      <c r="G248" s="3"/>
      <c r="H248" s="3"/>
      <c r="I248" s="3"/>
      <c r="J248" s="3"/>
      <c r="K248" s="3"/>
      <c r="L248" s="3" t="s">
        <v>90</v>
      </c>
      <c r="M248" s="3">
        <v>40</v>
      </c>
      <c r="N248" s="3" t="s">
        <v>105</v>
      </c>
      <c r="O248" s="3"/>
      <c r="P248" s="3"/>
      <c r="Q248" s="3">
        <v>0.41299999999999998</v>
      </c>
      <c r="R248" s="3" t="s">
        <v>106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89</v>
      </c>
      <c r="C249" s="3" t="s">
        <v>133</v>
      </c>
      <c r="D249" s="3"/>
      <c r="E249" s="3" t="s">
        <v>133</v>
      </c>
      <c r="F249" s="3"/>
      <c r="G249" s="3"/>
      <c r="H249" s="3"/>
      <c r="I249" s="3"/>
      <c r="J249" s="3"/>
      <c r="K249" s="3"/>
      <c r="L249" s="3" t="s">
        <v>90</v>
      </c>
      <c r="M249" s="3">
        <v>50</v>
      </c>
      <c r="N249" s="3" t="s">
        <v>107</v>
      </c>
      <c r="O249" s="3"/>
      <c r="P249" s="3"/>
      <c r="Q249" s="3">
        <v>13.818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89</v>
      </c>
      <c r="C250" s="3" t="s">
        <v>133</v>
      </c>
      <c r="D250" s="3"/>
      <c r="E250" s="3" t="s">
        <v>133</v>
      </c>
      <c r="F250" s="3"/>
      <c r="G250" s="3"/>
      <c r="H250" s="3"/>
      <c r="I250" s="3"/>
      <c r="J250" s="3"/>
      <c r="K250" s="3"/>
      <c r="L250" s="3" t="s">
        <v>90</v>
      </c>
      <c r="M250" s="3">
        <v>60</v>
      </c>
      <c r="N250" s="3" t="s">
        <v>18</v>
      </c>
      <c r="O250" s="3"/>
      <c r="P250" s="3"/>
      <c r="Q250" s="3">
        <v>84.977999999999994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89</v>
      </c>
      <c r="C251" s="3" t="s">
        <v>133</v>
      </c>
      <c r="D251" s="3"/>
      <c r="E251" s="3" t="s">
        <v>133</v>
      </c>
      <c r="F251" s="3"/>
      <c r="G251" s="3"/>
      <c r="H251" s="3"/>
      <c r="I251" s="3"/>
      <c r="J251" s="3"/>
      <c r="K251" s="3"/>
      <c r="L251" s="3" t="s">
        <v>90</v>
      </c>
      <c r="M251" s="3">
        <v>70</v>
      </c>
      <c r="N251" s="3" t="s">
        <v>113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89</v>
      </c>
      <c r="C252" s="3" t="s">
        <v>133</v>
      </c>
      <c r="D252" s="3"/>
      <c r="E252" s="3" t="s">
        <v>133</v>
      </c>
      <c r="F252" s="3"/>
      <c r="G252" s="3"/>
      <c r="H252" s="3"/>
      <c r="I252" s="3"/>
      <c r="J252" s="3"/>
      <c r="K252" s="3"/>
      <c r="L252" s="3" t="s">
        <v>90</v>
      </c>
      <c r="M252" s="3">
        <v>80</v>
      </c>
      <c r="N252" s="3" t="s">
        <v>21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89</v>
      </c>
      <c r="C253" s="3" t="s">
        <v>133</v>
      </c>
      <c r="D253" s="3"/>
      <c r="E253" s="3" t="s">
        <v>133</v>
      </c>
      <c r="F253" s="3"/>
      <c r="G253" s="3"/>
      <c r="H253" s="3"/>
      <c r="I253" s="3"/>
      <c r="J253" s="3"/>
      <c r="K253" s="3"/>
      <c r="L253" s="3" t="s">
        <v>90</v>
      </c>
      <c r="M253" s="3">
        <v>90</v>
      </c>
      <c r="N253" s="3" t="s">
        <v>22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89</v>
      </c>
      <c r="C254" s="3" t="s">
        <v>133</v>
      </c>
      <c r="D254" s="3"/>
      <c r="E254" s="3" t="s">
        <v>133</v>
      </c>
      <c r="F254" s="3"/>
      <c r="G254" s="3"/>
      <c r="H254" s="3"/>
      <c r="I254" s="3"/>
      <c r="J254" s="3"/>
      <c r="K254" s="3"/>
      <c r="L254" s="3" t="s">
        <v>90</v>
      </c>
      <c r="M254" s="3">
        <v>100</v>
      </c>
      <c r="N254" s="3" t="s">
        <v>23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89</v>
      </c>
      <c r="C255" s="3" t="s">
        <v>133</v>
      </c>
      <c r="D255" s="3"/>
      <c r="E255" s="3" t="s">
        <v>133</v>
      </c>
      <c r="F255" s="3"/>
      <c r="G255" s="3"/>
      <c r="H255" s="3"/>
      <c r="I255" s="3"/>
      <c r="J255" s="3"/>
      <c r="K255" s="3"/>
      <c r="L255" s="3" t="s">
        <v>90</v>
      </c>
      <c r="M255" s="3">
        <v>110</v>
      </c>
      <c r="N255" s="3" t="s">
        <v>111</v>
      </c>
      <c r="O255" s="3"/>
      <c r="P255" s="3"/>
      <c r="Q255" s="3">
        <v>0.86499999999999999</v>
      </c>
      <c r="R255" s="3" t="s">
        <v>13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89</v>
      </c>
      <c r="C256" s="3" t="s">
        <v>133</v>
      </c>
      <c r="D256" s="3"/>
      <c r="E256" s="3" t="s">
        <v>133</v>
      </c>
      <c r="F256" s="3"/>
      <c r="G256" s="3"/>
      <c r="H256" s="3"/>
      <c r="I256" s="3"/>
      <c r="J256" s="3"/>
      <c r="K256" s="3"/>
      <c r="L256" s="3" t="s">
        <v>90</v>
      </c>
      <c r="M256" s="3">
        <v>120</v>
      </c>
      <c r="N256" s="3" t="s">
        <v>173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89</v>
      </c>
      <c r="C257" s="3" t="s">
        <v>134</v>
      </c>
      <c r="D257" s="3"/>
      <c r="E257" s="3" t="s">
        <v>134</v>
      </c>
      <c r="F257" s="3"/>
      <c r="G257" s="3"/>
      <c r="H257" s="3"/>
      <c r="I257" s="3"/>
      <c r="J257" s="3"/>
      <c r="K257" s="3"/>
      <c r="L257" s="3" t="s">
        <v>90</v>
      </c>
      <c r="M257" s="3">
        <v>10</v>
      </c>
      <c r="N257" s="3" t="s">
        <v>284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89</v>
      </c>
      <c r="C258" s="3" t="s">
        <v>134</v>
      </c>
      <c r="D258" s="3"/>
      <c r="E258" s="3" t="s">
        <v>134</v>
      </c>
      <c r="F258" s="3"/>
      <c r="G258" s="3"/>
      <c r="H258" s="3"/>
      <c r="I258" s="3"/>
      <c r="J258" s="3"/>
      <c r="K258" s="3"/>
      <c r="L258" s="3" t="s">
        <v>90</v>
      </c>
      <c r="M258" s="3">
        <v>20</v>
      </c>
      <c r="N258" s="3" t="s">
        <v>109</v>
      </c>
      <c r="O258" s="3"/>
      <c r="P258" s="3"/>
      <c r="Q258" s="3">
        <v>1.4730000000000001</v>
      </c>
      <c r="R258" s="3" t="s">
        <v>15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89</v>
      </c>
      <c r="C259" s="3" t="s">
        <v>134</v>
      </c>
      <c r="D259" s="3"/>
      <c r="E259" s="3" t="s">
        <v>134</v>
      </c>
      <c r="F259" s="3"/>
      <c r="G259" s="3"/>
      <c r="H259" s="3"/>
      <c r="I259" s="3"/>
      <c r="J259" s="3"/>
      <c r="K259" s="3"/>
      <c r="L259" s="3" t="s">
        <v>90</v>
      </c>
      <c r="M259" s="3">
        <v>30</v>
      </c>
      <c r="N259" s="3" t="s">
        <v>110</v>
      </c>
      <c r="O259" s="3"/>
      <c r="P259" s="3"/>
      <c r="Q259" s="3">
        <v>1.4730000000000001</v>
      </c>
      <c r="R259" s="3" t="s">
        <v>15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89</v>
      </c>
      <c r="C260" s="3" t="s">
        <v>134</v>
      </c>
      <c r="D260" s="3"/>
      <c r="E260" s="3" t="s">
        <v>134</v>
      </c>
      <c r="F260" s="3"/>
      <c r="G260" s="3"/>
      <c r="H260" s="3"/>
      <c r="I260" s="3"/>
      <c r="J260" s="3"/>
      <c r="K260" s="3"/>
      <c r="L260" s="3" t="s">
        <v>90</v>
      </c>
      <c r="M260" s="3">
        <v>40</v>
      </c>
      <c r="N260" s="3" t="s">
        <v>105</v>
      </c>
      <c r="O260" s="3"/>
      <c r="P260" s="3"/>
      <c r="Q260" s="3">
        <v>0.437</v>
      </c>
      <c r="R260" s="3" t="s">
        <v>106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89</v>
      </c>
      <c r="C261" s="3" t="s">
        <v>134</v>
      </c>
      <c r="D261" s="3"/>
      <c r="E261" s="3" t="s">
        <v>134</v>
      </c>
      <c r="F261" s="3"/>
      <c r="G261" s="3"/>
      <c r="H261" s="3"/>
      <c r="I261" s="3"/>
      <c r="J261" s="3"/>
      <c r="K261" s="3"/>
      <c r="L261" s="3" t="s">
        <v>90</v>
      </c>
      <c r="M261" s="3">
        <v>50</v>
      </c>
      <c r="N261" s="3" t="s">
        <v>107</v>
      </c>
      <c r="O261" s="3"/>
      <c r="P261" s="3"/>
      <c r="Q261" s="3">
        <v>14.122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89</v>
      </c>
      <c r="C262" s="3" t="s">
        <v>134</v>
      </c>
      <c r="D262" s="3"/>
      <c r="E262" s="3" t="s">
        <v>134</v>
      </c>
      <c r="F262" s="3"/>
      <c r="G262" s="3"/>
      <c r="H262" s="3"/>
      <c r="I262" s="3"/>
      <c r="J262" s="3"/>
      <c r="K262" s="3"/>
      <c r="L262" s="3" t="s">
        <v>90</v>
      </c>
      <c r="M262" s="3">
        <v>60</v>
      </c>
      <c r="N262" s="3" t="s">
        <v>18</v>
      </c>
      <c r="O262" s="3"/>
      <c r="P262" s="3"/>
      <c r="Q262" s="3">
        <v>86.852999999999994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89</v>
      </c>
      <c r="C263" s="3" t="s">
        <v>134</v>
      </c>
      <c r="D263" s="3"/>
      <c r="E263" s="3" t="s">
        <v>134</v>
      </c>
      <c r="F263" s="3"/>
      <c r="G263" s="3"/>
      <c r="H263" s="3"/>
      <c r="I263" s="3"/>
      <c r="J263" s="3"/>
      <c r="K263" s="3"/>
      <c r="L263" s="3" t="s">
        <v>90</v>
      </c>
      <c r="M263" s="3">
        <v>70</v>
      </c>
      <c r="N263" s="3" t="s">
        <v>113</v>
      </c>
      <c r="O263" s="3"/>
      <c r="P263" s="3"/>
      <c r="Q263" s="3">
        <v>4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89</v>
      </c>
      <c r="C264" s="3" t="s">
        <v>134</v>
      </c>
      <c r="D264" s="3"/>
      <c r="E264" s="3" t="s">
        <v>134</v>
      </c>
      <c r="F264" s="3"/>
      <c r="G264" s="3"/>
      <c r="H264" s="3"/>
      <c r="I264" s="3"/>
      <c r="J264" s="3"/>
      <c r="K264" s="3"/>
      <c r="L264" s="3" t="s">
        <v>90</v>
      </c>
      <c r="M264" s="3">
        <v>80</v>
      </c>
      <c r="N264" s="3" t="s">
        <v>21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89</v>
      </c>
      <c r="C265" s="3" t="s">
        <v>134</v>
      </c>
      <c r="D265" s="3"/>
      <c r="E265" s="3" t="s">
        <v>134</v>
      </c>
      <c r="F265" s="3"/>
      <c r="G265" s="3"/>
      <c r="H265" s="3"/>
      <c r="I265" s="3"/>
      <c r="J265" s="3"/>
      <c r="K265" s="3"/>
      <c r="L265" s="3" t="s">
        <v>90</v>
      </c>
      <c r="M265" s="3">
        <v>90</v>
      </c>
      <c r="N265" s="3" t="s">
        <v>22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89</v>
      </c>
      <c r="C266" s="3" t="s">
        <v>134</v>
      </c>
      <c r="D266" s="3"/>
      <c r="E266" s="3" t="s">
        <v>134</v>
      </c>
      <c r="F266" s="3"/>
      <c r="G266" s="3"/>
      <c r="H266" s="3"/>
      <c r="I266" s="3"/>
      <c r="J266" s="3"/>
      <c r="K266" s="3"/>
      <c r="L266" s="3" t="s">
        <v>90</v>
      </c>
      <c r="M266" s="3">
        <v>100</v>
      </c>
      <c r="N266" s="3" t="s">
        <v>23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89</v>
      </c>
      <c r="C267" s="3" t="s">
        <v>134</v>
      </c>
      <c r="D267" s="3"/>
      <c r="E267" s="3" t="s">
        <v>134</v>
      </c>
      <c r="F267" s="3"/>
      <c r="G267" s="3"/>
      <c r="H267" s="3"/>
      <c r="I267" s="3"/>
      <c r="J267" s="3"/>
      <c r="K267" s="3"/>
      <c r="L267" s="3" t="s">
        <v>90</v>
      </c>
      <c r="M267" s="3">
        <v>110</v>
      </c>
      <c r="N267" s="3" t="s">
        <v>111</v>
      </c>
      <c r="O267" s="3"/>
      <c r="P267" s="3"/>
      <c r="Q267" s="3">
        <v>0.90500000000000003</v>
      </c>
      <c r="R267" s="3" t="s">
        <v>13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89</v>
      </c>
      <c r="C268" s="3" t="s">
        <v>134</v>
      </c>
      <c r="D268" s="3"/>
      <c r="E268" s="3" t="s">
        <v>134</v>
      </c>
      <c r="F268" s="3"/>
      <c r="G268" s="3"/>
      <c r="H268" s="3"/>
      <c r="I268" s="3"/>
      <c r="J268" s="3"/>
      <c r="K268" s="3"/>
      <c r="L268" s="3" t="s">
        <v>90</v>
      </c>
      <c r="M268" s="3">
        <v>120</v>
      </c>
      <c r="N268" s="3" t="s">
        <v>174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16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89</v>
      </c>
      <c r="C269" s="3" t="s">
        <v>135</v>
      </c>
      <c r="D269" s="3"/>
      <c r="E269" s="3" t="s">
        <v>135</v>
      </c>
      <c r="F269" s="3"/>
      <c r="G269" s="3"/>
      <c r="H269" s="3"/>
      <c r="I269" s="3"/>
      <c r="J269" s="3"/>
      <c r="K269" s="3"/>
      <c r="L269" s="3" t="s">
        <v>90</v>
      </c>
      <c r="M269" s="3">
        <v>10</v>
      </c>
      <c r="N269" s="3" t="s">
        <v>285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89</v>
      </c>
      <c r="C270" s="3" t="s">
        <v>135</v>
      </c>
      <c r="D270" s="3"/>
      <c r="E270" s="3" t="s">
        <v>135</v>
      </c>
      <c r="F270" s="3"/>
      <c r="G270" s="3"/>
      <c r="H270" s="3"/>
      <c r="I270" s="3"/>
      <c r="J270" s="3"/>
      <c r="K270" s="3"/>
      <c r="L270" s="3" t="s">
        <v>90</v>
      </c>
      <c r="M270" s="3">
        <v>20</v>
      </c>
      <c r="N270" s="3" t="s">
        <v>109</v>
      </c>
      <c r="O270" s="3"/>
      <c r="P270" s="3"/>
      <c r="Q270" s="3">
        <v>1.6259999999999999</v>
      </c>
      <c r="R270" s="3" t="s">
        <v>15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89</v>
      </c>
      <c r="C271" s="3" t="s">
        <v>135</v>
      </c>
      <c r="D271" s="3"/>
      <c r="E271" s="3" t="s">
        <v>135</v>
      </c>
      <c r="F271" s="3"/>
      <c r="G271" s="3"/>
      <c r="H271" s="3"/>
      <c r="I271" s="3"/>
      <c r="J271" s="3"/>
      <c r="K271" s="3"/>
      <c r="L271" s="3" t="s">
        <v>90</v>
      </c>
      <c r="M271" s="3">
        <v>30</v>
      </c>
      <c r="N271" s="3" t="s">
        <v>110</v>
      </c>
      <c r="O271" s="3"/>
      <c r="P271" s="3"/>
      <c r="Q271" s="3">
        <v>1.6259999999999999</v>
      </c>
      <c r="R271" s="3" t="s">
        <v>15</v>
      </c>
      <c r="S271" s="3"/>
      <c r="T271" s="3">
        <v>10</v>
      </c>
      <c r="U271" s="3"/>
      <c r="V271" s="3" t="s">
        <v>16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89</v>
      </c>
      <c r="C272" s="3" t="s">
        <v>135</v>
      </c>
      <c r="D272" s="3"/>
      <c r="E272" s="3" t="s">
        <v>135</v>
      </c>
      <c r="F272" s="3"/>
      <c r="G272" s="3"/>
      <c r="H272" s="3"/>
      <c r="I272" s="3"/>
      <c r="J272" s="3"/>
      <c r="K272" s="3"/>
      <c r="L272" s="3" t="s">
        <v>90</v>
      </c>
      <c r="M272" s="3">
        <v>40</v>
      </c>
      <c r="N272" s="3" t="s">
        <v>105</v>
      </c>
      <c r="O272" s="3"/>
      <c r="P272" s="3"/>
      <c r="Q272" s="3">
        <v>0.48299999999999998</v>
      </c>
      <c r="R272" s="3" t="s">
        <v>106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89</v>
      </c>
      <c r="C273" s="3" t="s">
        <v>135</v>
      </c>
      <c r="D273" s="3"/>
      <c r="E273" s="3" t="s">
        <v>135</v>
      </c>
      <c r="F273" s="3"/>
      <c r="G273" s="3"/>
      <c r="H273" s="3"/>
      <c r="I273" s="3"/>
      <c r="J273" s="3"/>
      <c r="K273" s="3"/>
      <c r="L273" s="3" t="s">
        <v>90</v>
      </c>
      <c r="M273" s="3">
        <v>50</v>
      </c>
      <c r="N273" s="3" t="s">
        <v>107</v>
      </c>
      <c r="O273" s="3"/>
      <c r="P273" s="3"/>
      <c r="Q273" s="3">
        <v>14.731999999999999</v>
      </c>
      <c r="R273" s="3" t="s">
        <v>15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89</v>
      </c>
      <c r="C274" s="3" t="s">
        <v>135</v>
      </c>
      <c r="D274" s="3"/>
      <c r="E274" s="3" t="s">
        <v>135</v>
      </c>
      <c r="F274" s="3"/>
      <c r="G274" s="3"/>
      <c r="H274" s="3"/>
      <c r="I274" s="3"/>
      <c r="J274" s="3"/>
      <c r="K274" s="3"/>
      <c r="L274" s="3" t="s">
        <v>90</v>
      </c>
      <c r="M274" s="3">
        <v>60</v>
      </c>
      <c r="N274" s="3" t="s">
        <v>18</v>
      </c>
      <c r="O274" s="3"/>
      <c r="P274" s="3"/>
      <c r="Q274" s="3">
        <v>90.602000000000004</v>
      </c>
      <c r="R274" s="3" t="s">
        <v>15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89</v>
      </c>
      <c r="C275" s="3" t="s">
        <v>135</v>
      </c>
      <c r="D275" s="3"/>
      <c r="E275" s="3" t="s">
        <v>135</v>
      </c>
      <c r="F275" s="3"/>
      <c r="G275" s="3"/>
      <c r="H275" s="3"/>
      <c r="I275" s="3"/>
      <c r="J275" s="3"/>
      <c r="K275" s="3"/>
      <c r="L275" s="3" t="s">
        <v>90</v>
      </c>
      <c r="M275" s="3">
        <v>70</v>
      </c>
      <c r="N275" s="3" t="s">
        <v>113</v>
      </c>
      <c r="O275" s="3"/>
      <c r="P275" s="3"/>
      <c r="Q275" s="3">
        <v>4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89</v>
      </c>
      <c r="C276" s="3" t="s">
        <v>135</v>
      </c>
      <c r="D276" s="3"/>
      <c r="E276" s="3" t="s">
        <v>135</v>
      </c>
      <c r="F276" s="3"/>
      <c r="G276" s="3"/>
      <c r="H276" s="3"/>
      <c r="I276" s="3"/>
      <c r="J276" s="3"/>
      <c r="K276" s="3"/>
      <c r="L276" s="3" t="s">
        <v>90</v>
      </c>
      <c r="M276" s="3">
        <v>80</v>
      </c>
      <c r="N276" s="3" t="s">
        <v>21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89</v>
      </c>
      <c r="C277" s="3" t="s">
        <v>135</v>
      </c>
      <c r="D277" s="3"/>
      <c r="E277" s="3" t="s">
        <v>135</v>
      </c>
      <c r="F277" s="3"/>
      <c r="G277" s="3"/>
      <c r="H277" s="3"/>
      <c r="I277" s="3"/>
      <c r="J277" s="3"/>
      <c r="K277" s="3"/>
      <c r="L277" s="3" t="s">
        <v>90</v>
      </c>
      <c r="M277" s="3">
        <v>90</v>
      </c>
      <c r="N277" s="3" t="s">
        <v>22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89</v>
      </c>
      <c r="C278" s="3" t="s">
        <v>135</v>
      </c>
      <c r="D278" s="3"/>
      <c r="E278" s="3" t="s">
        <v>135</v>
      </c>
      <c r="F278" s="3"/>
      <c r="G278" s="3"/>
      <c r="H278" s="3"/>
      <c r="I278" s="3"/>
      <c r="J278" s="3"/>
      <c r="K278" s="3"/>
      <c r="L278" s="3" t="s">
        <v>90</v>
      </c>
      <c r="M278" s="3">
        <v>100</v>
      </c>
      <c r="N278" s="3" t="s">
        <v>23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89</v>
      </c>
      <c r="C279" s="3" t="s">
        <v>135</v>
      </c>
      <c r="D279" s="3"/>
      <c r="E279" s="3" t="s">
        <v>135</v>
      </c>
      <c r="F279" s="3"/>
      <c r="G279" s="3"/>
      <c r="H279" s="3"/>
      <c r="I279" s="3"/>
      <c r="J279" s="3"/>
      <c r="K279" s="3"/>
      <c r="L279" s="3" t="s">
        <v>90</v>
      </c>
      <c r="M279" s="3">
        <v>110</v>
      </c>
      <c r="N279" s="3" t="s">
        <v>111</v>
      </c>
      <c r="O279" s="3"/>
      <c r="P279" s="3"/>
      <c r="Q279" s="3">
        <v>0.98599999999999999</v>
      </c>
      <c r="R279" s="3" t="s">
        <v>13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89</v>
      </c>
      <c r="C280" s="3" t="s">
        <v>135</v>
      </c>
      <c r="D280" s="3"/>
      <c r="E280" s="3" t="s">
        <v>135</v>
      </c>
      <c r="F280" s="3"/>
      <c r="G280" s="3"/>
      <c r="H280" s="3"/>
      <c r="I280" s="3"/>
      <c r="J280" s="3"/>
      <c r="K280" s="3"/>
      <c r="L280" s="3" t="s">
        <v>90</v>
      </c>
      <c r="M280" s="3">
        <v>120</v>
      </c>
      <c r="N280" s="3" t="s">
        <v>175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89</v>
      </c>
      <c r="C281" s="3" t="s">
        <v>136</v>
      </c>
      <c r="D281" s="3"/>
      <c r="E281" s="3" t="s">
        <v>136</v>
      </c>
      <c r="F281" s="3"/>
      <c r="G281" s="3"/>
      <c r="H281" s="3"/>
      <c r="I281" s="3"/>
      <c r="J281" s="3"/>
      <c r="K281" s="3"/>
      <c r="L281" s="3" t="s">
        <v>90</v>
      </c>
      <c r="M281" s="3">
        <v>10</v>
      </c>
      <c r="N281" s="3" t="s">
        <v>286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89</v>
      </c>
      <c r="C282" s="3" t="s">
        <v>136</v>
      </c>
      <c r="D282" s="3"/>
      <c r="E282" s="3" t="s">
        <v>136</v>
      </c>
      <c r="F282" s="3"/>
      <c r="G282" s="3"/>
      <c r="H282" s="3"/>
      <c r="I282" s="3"/>
      <c r="J282" s="3"/>
      <c r="K282" s="3"/>
      <c r="L282" s="3" t="s">
        <v>90</v>
      </c>
      <c r="M282" s="3">
        <v>20</v>
      </c>
      <c r="N282" s="3" t="s">
        <v>109</v>
      </c>
      <c r="O282" s="3"/>
      <c r="P282" s="3"/>
      <c r="Q282" s="3">
        <v>1.778</v>
      </c>
      <c r="R282" s="3" t="s">
        <v>15</v>
      </c>
      <c r="S282" s="3"/>
      <c r="T282" s="3">
        <v>10</v>
      </c>
      <c r="U282" s="3"/>
      <c r="V282" s="3" t="s">
        <v>16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89</v>
      </c>
      <c r="C283" s="3" t="s">
        <v>136</v>
      </c>
      <c r="D283" s="3"/>
      <c r="E283" s="3" t="s">
        <v>136</v>
      </c>
      <c r="F283" s="3"/>
      <c r="G283" s="3"/>
      <c r="H283" s="3"/>
      <c r="I283" s="3"/>
      <c r="J283" s="3"/>
      <c r="K283" s="3"/>
      <c r="L283" s="3" t="s">
        <v>90</v>
      </c>
      <c r="M283" s="3">
        <v>30</v>
      </c>
      <c r="N283" s="3" t="s">
        <v>110</v>
      </c>
      <c r="O283" s="3"/>
      <c r="P283" s="3"/>
      <c r="Q283" s="3">
        <v>1.778</v>
      </c>
      <c r="R283" s="3" t="s">
        <v>15</v>
      </c>
      <c r="S283" s="3"/>
      <c r="T283" s="3">
        <v>10</v>
      </c>
      <c r="U283" s="3"/>
      <c r="V283" s="3" t="s">
        <v>16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89</v>
      </c>
      <c r="C284" s="3" t="s">
        <v>136</v>
      </c>
      <c r="D284" s="3"/>
      <c r="E284" s="3" t="s">
        <v>136</v>
      </c>
      <c r="F284" s="3"/>
      <c r="G284" s="3"/>
      <c r="H284" s="3"/>
      <c r="I284" s="3"/>
      <c r="J284" s="3"/>
      <c r="K284" s="3"/>
      <c r="L284" s="3" t="s">
        <v>90</v>
      </c>
      <c r="M284" s="3">
        <v>40</v>
      </c>
      <c r="N284" s="3" t="s">
        <v>105</v>
      </c>
      <c r="O284" s="3"/>
      <c r="P284" s="3"/>
      <c r="Q284" s="3">
        <v>0.53</v>
      </c>
      <c r="R284" s="3" t="s">
        <v>106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89</v>
      </c>
      <c r="C285" s="3" t="s">
        <v>136</v>
      </c>
      <c r="D285" s="3"/>
      <c r="E285" s="3" t="s">
        <v>136</v>
      </c>
      <c r="F285" s="3"/>
      <c r="G285" s="3"/>
      <c r="H285" s="3"/>
      <c r="I285" s="3"/>
      <c r="J285" s="3"/>
      <c r="K285" s="3"/>
      <c r="L285" s="3" t="s">
        <v>90</v>
      </c>
      <c r="M285" s="3">
        <v>50</v>
      </c>
      <c r="N285" s="3" t="s">
        <v>107</v>
      </c>
      <c r="O285" s="3"/>
      <c r="P285" s="3"/>
      <c r="Q285" s="3">
        <v>15.342000000000001</v>
      </c>
      <c r="R285" s="3" t="s">
        <v>15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89</v>
      </c>
      <c r="C286" s="3" t="s">
        <v>136</v>
      </c>
      <c r="D286" s="3"/>
      <c r="E286" s="3" t="s">
        <v>136</v>
      </c>
      <c r="F286" s="3"/>
      <c r="G286" s="3"/>
      <c r="H286" s="3"/>
      <c r="I286" s="3"/>
      <c r="J286" s="3"/>
      <c r="K286" s="3"/>
      <c r="L286" s="3" t="s">
        <v>90</v>
      </c>
      <c r="M286" s="3">
        <v>60</v>
      </c>
      <c r="N286" s="3" t="s">
        <v>18</v>
      </c>
      <c r="O286" s="3"/>
      <c r="P286" s="3"/>
      <c r="Q286" s="3">
        <v>94.350999999999999</v>
      </c>
      <c r="R286" s="3" t="s">
        <v>15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89</v>
      </c>
      <c r="C287" s="3" t="s">
        <v>136</v>
      </c>
      <c r="D287" s="3"/>
      <c r="E287" s="3" t="s">
        <v>136</v>
      </c>
      <c r="F287" s="3"/>
      <c r="G287" s="3"/>
      <c r="H287" s="3"/>
      <c r="I287" s="3"/>
      <c r="J287" s="3"/>
      <c r="K287" s="3"/>
      <c r="L287" s="3" t="s">
        <v>90</v>
      </c>
      <c r="M287" s="3">
        <v>70</v>
      </c>
      <c r="N287" s="3" t="s">
        <v>113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89</v>
      </c>
      <c r="C288" s="3" t="s">
        <v>136</v>
      </c>
      <c r="D288" s="3"/>
      <c r="E288" s="3" t="s">
        <v>136</v>
      </c>
      <c r="F288" s="3"/>
      <c r="G288" s="3"/>
      <c r="H288" s="3"/>
      <c r="I288" s="3"/>
      <c r="J288" s="3"/>
      <c r="K288" s="3"/>
      <c r="L288" s="3" t="s">
        <v>90</v>
      </c>
      <c r="M288" s="3">
        <v>80</v>
      </c>
      <c r="N288" s="3" t="s">
        <v>21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89</v>
      </c>
      <c r="C289" s="3" t="s">
        <v>136</v>
      </c>
      <c r="D289" s="3"/>
      <c r="E289" s="3" t="s">
        <v>136</v>
      </c>
      <c r="F289" s="3"/>
      <c r="G289" s="3"/>
      <c r="H289" s="3"/>
      <c r="I289" s="3"/>
      <c r="J289" s="3"/>
      <c r="K289" s="3"/>
      <c r="L289" s="3" t="s">
        <v>90</v>
      </c>
      <c r="M289" s="3">
        <v>90</v>
      </c>
      <c r="N289" s="3" t="s">
        <v>22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89</v>
      </c>
      <c r="C290" s="3" t="s">
        <v>136</v>
      </c>
      <c r="D290" s="3"/>
      <c r="E290" s="3" t="s">
        <v>136</v>
      </c>
      <c r="F290" s="3"/>
      <c r="G290" s="3"/>
      <c r="H290" s="3"/>
      <c r="I290" s="3"/>
      <c r="J290" s="3"/>
      <c r="K290" s="3"/>
      <c r="L290" s="3" t="s">
        <v>90</v>
      </c>
      <c r="M290" s="3">
        <v>100</v>
      </c>
      <c r="N290" s="3" t="s">
        <v>23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89</v>
      </c>
      <c r="C291" s="3" t="s">
        <v>136</v>
      </c>
      <c r="D291" s="3"/>
      <c r="E291" s="3" t="s">
        <v>136</v>
      </c>
      <c r="F291" s="3"/>
      <c r="G291" s="3"/>
      <c r="H291" s="3"/>
      <c r="I291" s="3"/>
      <c r="J291" s="3"/>
      <c r="K291" s="3"/>
      <c r="L291" s="3" t="s">
        <v>90</v>
      </c>
      <c r="M291" s="3">
        <v>110</v>
      </c>
      <c r="N291" s="3" t="s">
        <v>111</v>
      </c>
      <c r="O291" s="3"/>
      <c r="P291" s="3"/>
      <c r="Q291" s="3">
        <v>1.0669999999999999</v>
      </c>
      <c r="R291" s="3" t="s">
        <v>13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89</v>
      </c>
      <c r="C292" s="3" t="s">
        <v>136</v>
      </c>
      <c r="D292" s="3"/>
      <c r="E292" s="3" t="s">
        <v>136</v>
      </c>
      <c r="F292" s="3"/>
      <c r="G292" s="3"/>
      <c r="H292" s="3"/>
      <c r="I292" s="3"/>
      <c r="J292" s="3"/>
      <c r="K292" s="3"/>
      <c r="L292" s="3" t="s">
        <v>90</v>
      </c>
      <c r="M292" s="3">
        <v>120</v>
      </c>
      <c r="N292" s="3" t="s">
        <v>176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89</v>
      </c>
      <c r="C293" s="3" t="s">
        <v>137</v>
      </c>
      <c r="D293" s="3"/>
      <c r="E293" s="3" t="s">
        <v>137</v>
      </c>
      <c r="F293" s="3"/>
      <c r="G293" s="3"/>
      <c r="H293" s="3"/>
      <c r="I293" s="3"/>
      <c r="J293" s="3"/>
      <c r="K293" s="3"/>
      <c r="L293" s="3" t="s">
        <v>90</v>
      </c>
      <c r="M293" s="3">
        <v>10</v>
      </c>
      <c r="N293" s="3" t="s">
        <v>287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89</v>
      </c>
      <c r="C294" s="3" t="s">
        <v>137</v>
      </c>
      <c r="D294" s="3"/>
      <c r="E294" s="3" t="s">
        <v>137</v>
      </c>
      <c r="F294" s="3"/>
      <c r="G294" s="3"/>
      <c r="H294" s="3"/>
      <c r="I294" s="3"/>
      <c r="J294" s="3"/>
      <c r="K294" s="3"/>
      <c r="L294" s="3" t="s">
        <v>90</v>
      </c>
      <c r="M294" s="3">
        <v>20</v>
      </c>
      <c r="N294" s="3" t="s">
        <v>109</v>
      </c>
      <c r="O294" s="3"/>
      <c r="P294" s="3"/>
      <c r="Q294" s="3">
        <v>2.0569999999999999</v>
      </c>
      <c r="R294" s="3" t="s">
        <v>15</v>
      </c>
      <c r="S294" s="3"/>
      <c r="T294" s="3">
        <v>10</v>
      </c>
      <c r="U294" s="3"/>
      <c r="V294" s="3" t="s">
        <v>16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89</v>
      </c>
      <c r="C295" s="3" t="s">
        <v>137</v>
      </c>
      <c r="D295" s="3"/>
      <c r="E295" s="3" t="s">
        <v>137</v>
      </c>
      <c r="F295" s="3"/>
      <c r="G295" s="3"/>
      <c r="H295" s="3"/>
      <c r="I295" s="3"/>
      <c r="J295" s="3"/>
      <c r="K295" s="3"/>
      <c r="L295" s="3" t="s">
        <v>90</v>
      </c>
      <c r="M295" s="3">
        <v>30</v>
      </c>
      <c r="N295" s="3" t="s">
        <v>110</v>
      </c>
      <c r="O295" s="3"/>
      <c r="P295" s="3"/>
      <c r="Q295" s="3">
        <v>2.0569999999999999</v>
      </c>
      <c r="R295" s="3" t="s">
        <v>15</v>
      </c>
      <c r="S295" s="3"/>
      <c r="T295" s="3">
        <v>10</v>
      </c>
      <c r="U295" s="3"/>
      <c r="V295" s="3" t="s">
        <v>16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89</v>
      </c>
      <c r="C296" s="3" t="s">
        <v>137</v>
      </c>
      <c r="D296" s="3"/>
      <c r="E296" s="3" t="s">
        <v>137</v>
      </c>
      <c r="F296" s="3"/>
      <c r="G296" s="3"/>
      <c r="H296" s="3"/>
      <c r="I296" s="3"/>
      <c r="J296" s="3"/>
      <c r="K296" s="3"/>
      <c r="L296" s="3" t="s">
        <v>90</v>
      </c>
      <c r="M296" s="3">
        <v>40</v>
      </c>
      <c r="N296" s="3" t="s">
        <v>105</v>
      </c>
      <c r="O296" s="3"/>
      <c r="P296" s="3"/>
      <c r="Q296" s="3">
        <v>0.25600000000000001</v>
      </c>
      <c r="R296" s="3" t="s">
        <v>106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89</v>
      </c>
      <c r="C297" s="3" t="s">
        <v>137</v>
      </c>
      <c r="D297" s="3"/>
      <c r="E297" s="3" t="s">
        <v>137</v>
      </c>
      <c r="F297" s="3"/>
      <c r="G297" s="3"/>
      <c r="H297" s="3"/>
      <c r="I297" s="3"/>
      <c r="J297" s="3"/>
      <c r="K297" s="3"/>
      <c r="L297" s="3" t="s">
        <v>90</v>
      </c>
      <c r="M297" s="3">
        <v>50</v>
      </c>
      <c r="N297" s="3" t="s">
        <v>107</v>
      </c>
      <c r="O297" s="3"/>
      <c r="P297" s="3"/>
      <c r="Q297" s="3">
        <v>11.887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89</v>
      </c>
      <c r="C298" s="3" t="s">
        <v>137</v>
      </c>
      <c r="D298" s="3"/>
      <c r="E298" s="3" t="s">
        <v>137</v>
      </c>
      <c r="F298" s="3"/>
      <c r="G298" s="3"/>
      <c r="H298" s="3"/>
      <c r="I298" s="3"/>
      <c r="J298" s="3"/>
      <c r="K298" s="3"/>
      <c r="L298" s="3" t="s">
        <v>90</v>
      </c>
      <c r="M298" s="3">
        <v>60</v>
      </c>
      <c r="N298" s="3" t="s">
        <v>18</v>
      </c>
      <c r="O298" s="3"/>
      <c r="P298" s="3"/>
      <c r="Q298" s="3">
        <v>73.105999999999995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89</v>
      </c>
      <c r="C299" s="3" t="s">
        <v>137</v>
      </c>
      <c r="D299" s="3"/>
      <c r="E299" s="3" t="s">
        <v>137</v>
      </c>
      <c r="F299" s="3"/>
      <c r="G299" s="3"/>
      <c r="H299" s="3"/>
      <c r="I299" s="3"/>
      <c r="J299" s="3"/>
      <c r="K299" s="3"/>
      <c r="L299" s="3" t="s">
        <v>90</v>
      </c>
      <c r="M299" s="3">
        <v>70</v>
      </c>
      <c r="N299" s="3" t="s">
        <v>113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89</v>
      </c>
      <c r="C300" s="3" t="s">
        <v>137</v>
      </c>
      <c r="D300" s="3"/>
      <c r="E300" s="3" t="s">
        <v>137</v>
      </c>
      <c r="F300" s="3"/>
      <c r="G300" s="3"/>
      <c r="H300" s="3"/>
      <c r="I300" s="3"/>
      <c r="J300" s="3"/>
      <c r="K300" s="3"/>
      <c r="L300" s="3" t="s">
        <v>90</v>
      </c>
      <c r="M300" s="3">
        <v>80</v>
      </c>
      <c r="N300" s="3" t="s">
        <v>21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89</v>
      </c>
      <c r="C301" s="3" t="s">
        <v>137</v>
      </c>
      <c r="D301" s="3"/>
      <c r="E301" s="3" t="s">
        <v>137</v>
      </c>
      <c r="F301" s="3"/>
      <c r="G301" s="3"/>
      <c r="H301" s="3"/>
      <c r="I301" s="3"/>
      <c r="J301" s="3"/>
      <c r="K301" s="3"/>
      <c r="L301" s="3" t="s">
        <v>90</v>
      </c>
      <c r="M301" s="3">
        <v>90</v>
      </c>
      <c r="N301" s="3" t="s">
        <v>22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89</v>
      </c>
      <c r="C302" s="3" t="s">
        <v>137</v>
      </c>
      <c r="D302" s="3"/>
      <c r="E302" s="3" t="s">
        <v>137</v>
      </c>
      <c r="F302" s="3"/>
      <c r="G302" s="3"/>
      <c r="H302" s="3"/>
      <c r="I302" s="3"/>
      <c r="J302" s="3"/>
      <c r="K302" s="3"/>
      <c r="L302" s="3" t="s">
        <v>90</v>
      </c>
      <c r="M302" s="3">
        <v>100</v>
      </c>
      <c r="N302" s="3" t="s">
        <v>23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89</v>
      </c>
      <c r="C303" s="3" t="s">
        <v>137</v>
      </c>
      <c r="D303" s="3"/>
      <c r="E303" s="3" t="s">
        <v>137</v>
      </c>
      <c r="F303" s="3"/>
      <c r="G303" s="3"/>
      <c r="H303" s="3"/>
      <c r="I303" s="3"/>
      <c r="J303" s="3"/>
      <c r="K303" s="3"/>
      <c r="L303" s="3" t="s">
        <v>90</v>
      </c>
      <c r="M303" s="3">
        <v>110</v>
      </c>
      <c r="N303" s="3" t="s">
        <v>111</v>
      </c>
      <c r="O303" s="3"/>
      <c r="P303" s="3"/>
      <c r="Q303" s="3">
        <v>1.216</v>
      </c>
      <c r="R303" s="3" t="s">
        <v>13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89</v>
      </c>
      <c r="C304" s="3" t="s">
        <v>137</v>
      </c>
      <c r="D304" s="3"/>
      <c r="E304" s="3" t="s">
        <v>137</v>
      </c>
      <c r="F304" s="3"/>
      <c r="G304" s="3"/>
      <c r="H304" s="3"/>
      <c r="I304" s="3"/>
      <c r="J304" s="3"/>
      <c r="K304" s="3"/>
      <c r="L304" s="3" t="s">
        <v>90</v>
      </c>
      <c r="M304" s="3">
        <v>120</v>
      </c>
      <c r="N304" s="3" t="s">
        <v>177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89</v>
      </c>
      <c r="C305" s="3" t="s">
        <v>138</v>
      </c>
      <c r="D305" s="3"/>
      <c r="E305" s="3" t="s">
        <v>138</v>
      </c>
      <c r="F305" s="3"/>
      <c r="G305" s="3"/>
      <c r="H305" s="3"/>
      <c r="I305" s="3"/>
      <c r="J305" s="3"/>
      <c r="K305" s="3"/>
      <c r="L305" s="3" t="s">
        <v>90</v>
      </c>
      <c r="M305" s="3">
        <v>10</v>
      </c>
      <c r="N305" s="3" t="s">
        <v>288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89</v>
      </c>
      <c r="C306" s="3" t="s">
        <v>138</v>
      </c>
      <c r="D306" s="3"/>
      <c r="E306" s="3" t="s">
        <v>138</v>
      </c>
      <c r="F306" s="3"/>
      <c r="G306" s="3"/>
      <c r="H306" s="3"/>
      <c r="I306" s="3"/>
      <c r="J306" s="3"/>
      <c r="K306" s="3"/>
      <c r="L306" s="3" t="s">
        <v>90</v>
      </c>
      <c r="M306" s="3">
        <v>20</v>
      </c>
      <c r="N306" s="3" t="s">
        <v>109</v>
      </c>
      <c r="O306" s="3"/>
      <c r="P306" s="3"/>
      <c r="Q306" s="3">
        <v>2.0569999999999999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89</v>
      </c>
      <c r="C307" s="3" t="s">
        <v>138</v>
      </c>
      <c r="D307" s="3"/>
      <c r="E307" s="3" t="s">
        <v>138</v>
      </c>
      <c r="F307" s="3"/>
      <c r="G307" s="3"/>
      <c r="H307" s="3"/>
      <c r="I307" s="3"/>
      <c r="J307" s="3"/>
      <c r="K307" s="3"/>
      <c r="L307" s="3" t="s">
        <v>90</v>
      </c>
      <c r="M307" s="3">
        <v>30</v>
      </c>
      <c r="N307" s="3" t="s">
        <v>110</v>
      </c>
      <c r="O307" s="3"/>
      <c r="P307" s="3"/>
      <c r="Q307" s="3">
        <v>2.0569999999999999</v>
      </c>
      <c r="R307" s="3" t="s">
        <v>15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89</v>
      </c>
      <c r="C308" s="3" t="s">
        <v>138</v>
      </c>
      <c r="D308" s="3"/>
      <c r="E308" s="3" t="s">
        <v>138</v>
      </c>
      <c r="F308" s="3"/>
      <c r="G308" s="3"/>
      <c r="H308" s="3"/>
      <c r="I308" s="3"/>
      <c r="J308" s="3"/>
      <c r="K308" s="3"/>
      <c r="L308" s="3" t="s">
        <v>90</v>
      </c>
      <c r="M308" s="3">
        <v>40</v>
      </c>
      <c r="N308" s="3" t="s">
        <v>105</v>
      </c>
      <c r="O308" s="3"/>
      <c r="P308" s="3"/>
      <c r="Q308" s="3">
        <v>0.30399999999999999</v>
      </c>
      <c r="R308" s="3" t="s">
        <v>106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89</v>
      </c>
      <c r="C309" s="3" t="s">
        <v>138</v>
      </c>
      <c r="D309" s="3"/>
      <c r="E309" s="3" t="s">
        <v>138</v>
      </c>
      <c r="F309" s="3"/>
      <c r="G309" s="3"/>
      <c r="H309" s="3"/>
      <c r="I309" s="3"/>
      <c r="J309" s="3"/>
      <c r="K309" s="3"/>
      <c r="L309" s="3" t="s">
        <v>90</v>
      </c>
      <c r="M309" s="3">
        <v>50</v>
      </c>
      <c r="N309" s="3" t="s">
        <v>107</v>
      </c>
      <c r="O309" s="3"/>
      <c r="P309" s="3"/>
      <c r="Q309" s="3">
        <v>12.497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89</v>
      </c>
      <c r="C310" s="3" t="s">
        <v>138</v>
      </c>
      <c r="D310" s="3"/>
      <c r="E310" s="3" t="s">
        <v>138</v>
      </c>
      <c r="F310" s="3"/>
      <c r="G310" s="3"/>
      <c r="H310" s="3"/>
      <c r="I310" s="3"/>
      <c r="J310" s="3"/>
      <c r="K310" s="3"/>
      <c r="L310" s="3" t="s">
        <v>90</v>
      </c>
      <c r="M310" s="3">
        <v>60</v>
      </c>
      <c r="N310" s="3" t="s">
        <v>18</v>
      </c>
      <c r="O310" s="3"/>
      <c r="P310" s="3"/>
      <c r="Q310" s="3">
        <v>76.855000000000004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89</v>
      </c>
      <c r="C311" s="3" t="s">
        <v>138</v>
      </c>
      <c r="D311" s="3"/>
      <c r="E311" s="3" t="s">
        <v>138</v>
      </c>
      <c r="F311" s="3"/>
      <c r="G311" s="3"/>
      <c r="H311" s="3"/>
      <c r="I311" s="3"/>
      <c r="J311" s="3"/>
      <c r="K311" s="3"/>
      <c r="L311" s="3" t="s">
        <v>90</v>
      </c>
      <c r="M311" s="3">
        <v>70</v>
      </c>
      <c r="N311" s="3" t="s">
        <v>113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89</v>
      </c>
      <c r="C312" s="3" t="s">
        <v>138</v>
      </c>
      <c r="D312" s="3"/>
      <c r="E312" s="3" t="s">
        <v>138</v>
      </c>
      <c r="F312" s="3"/>
      <c r="G312" s="3"/>
      <c r="H312" s="3"/>
      <c r="I312" s="3"/>
      <c r="J312" s="3"/>
      <c r="K312" s="3"/>
      <c r="L312" s="3" t="s">
        <v>90</v>
      </c>
      <c r="M312" s="3">
        <v>80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89</v>
      </c>
      <c r="C313" s="3" t="s">
        <v>138</v>
      </c>
      <c r="D313" s="3"/>
      <c r="E313" s="3" t="s">
        <v>138</v>
      </c>
      <c r="F313" s="3"/>
      <c r="G313" s="3"/>
      <c r="H313" s="3"/>
      <c r="I313" s="3"/>
      <c r="J313" s="3"/>
      <c r="K313" s="3"/>
      <c r="L313" s="3" t="s">
        <v>90</v>
      </c>
      <c r="M313" s="3">
        <v>90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89</v>
      </c>
      <c r="C314" s="3" t="s">
        <v>138</v>
      </c>
      <c r="D314" s="3"/>
      <c r="E314" s="3" t="s">
        <v>138</v>
      </c>
      <c r="F314" s="3"/>
      <c r="G314" s="3"/>
      <c r="H314" s="3"/>
      <c r="I314" s="3"/>
      <c r="J314" s="3"/>
      <c r="K314" s="3"/>
      <c r="L314" s="3" t="s">
        <v>90</v>
      </c>
      <c r="M314" s="3">
        <v>100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89</v>
      </c>
      <c r="C315" s="3" t="s">
        <v>138</v>
      </c>
      <c r="D315" s="3"/>
      <c r="E315" s="3" t="s">
        <v>138</v>
      </c>
      <c r="F315" s="3"/>
      <c r="G315" s="3"/>
      <c r="H315" s="3"/>
      <c r="I315" s="3"/>
      <c r="J315" s="3"/>
      <c r="K315" s="3"/>
      <c r="L315" s="3" t="s">
        <v>90</v>
      </c>
      <c r="M315" s="3">
        <v>110</v>
      </c>
      <c r="N315" s="3" t="s">
        <v>111</v>
      </c>
      <c r="O315" s="3"/>
      <c r="P315" s="3"/>
      <c r="Q315" s="3">
        <v>1.216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89</v>
      </c>
      <c r="C316" s="3" t="s">
        <v>138</v>
      </c>
      <c r="D316" s="3"/>
      <c r="E316" s="3" t="s">
        <v>138</v>
      </c>
      <c r="F316" s="3"/>
      <c r="G316" s="3"/>
      <c r="H316" s="3"/>
      <c r="I316" s="3"/>
      <c r="J316" s="3"/>
      <c r="K316" s="3"/>
      <c r="L316" s="3" t="s">
        <v>90</v>
      </c>
      <c r="M316" s="3">
        <v>120</v>
      </c>
      <c r="N316" s="3" t="s">
        <v>178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89</v>
      </c>
      <c r="C317" s="3" t="s">
        <v>139</v>
      </c>
      <c r="D317" s="3"/>
      <c r="E317" s="3" t="s">
        <v>139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289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89</v>
      </c>
      <c r="C318" s="3" t="s">
        <v>139</v>
      </c>
      <c r="D318" s="3"/>
      <c r="E318" s="3" t="s">
        <v>139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109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89</v>
      </c>
      <c r="C319" s="3" t="s">
        <v>139</v>
      </c>
      <c r="D319" s="3"/>
      <c r="E319" s="3" t="s">
        <v>139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110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89</v>
      </c>
      <c r="C320" s="3" t="s">
        <v>139</v>
      </c>
      <c r="D320" s="3"/>
      <c r="E320" s="3" t="s">
        <v>139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0.35199999999999998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89</v>
      </c>
      <c r="C321" s="3" t="s">
        <v>139</v>
      </c>
      <c r="D321" s="3"/>
      <c r="E321" s="3" t="s">
        <v>139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107</v>
      </c>
      <c r="O321" s="3"/>
      <c r="P321" s="3"/>
      <c r="Q321" s="3">
        <v>13.106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89</v>
      </c>
      <c r="C322" s="3" t="s">
        <v>139</v>
      </c>
      <c r="D322" s="3"/>
      <c r="E322" s="3" t="s">
        <v>139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80.603999999999999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89</v>
      </c>
      <c r="C323" s="3" t="s">
        <v>139</v>
      </c>
      <c r="D323" s="3"/>
      <c r="E323" s="3" t="s">
        <v>139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113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89</v>
      </c>
      <c r="C324" s="3" t="s">
        <v>139</v>
      </c>
      <c r="D324" s="3"/>
      <c r="E324" s="3" t="s">
        <v>139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89</v>
      </c>
      <c r="C325" s="3" t="s">
        <v>139</v>
      </c>
      <c r="D325" s="3"/>
      <c r="E325" s="3" t="s">
        <v>139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89</v>
      </c>
      <c r="C326" s="3" t="s">
        <v>139</v>
      </c>
      <c r="D326" s="3"/>
      <c r="E326" s="3" t="s">
        <v>139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89</v>
      </c>
      <c r="C327" s="3" t="s">
        <v>139</v>
      </c>
      <c r="D327" s="3"/>
      <c r="E327" s="3" t="s">
        <v>139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111</v>
      </c>
      <c r="O327" s="3"/>
      <c r="P327" s="3"/>
      <c r="Q327" s="3">
        <v>1.216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89</v>
      </c>
      <c r="C328" s="3" t="s">
        <v>139</v>
      </c>
      <c r="D328" s="3"/>
      <c r="E328" s="3" t="s">
        <v>139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179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89</v>
      </c>
      <c r="C329" s="3" t="s">
        <v>140</v>
      </c>
      <c r="D329" s="3"/>
      <c r="E329" s="3" t="s">
        <v>140</v>
      </c>
      <c r="F329" s="3"/>
      <c r="G329" s="3"/>
      <c r="H329" s="3"/>
      <c r="I329" s="3"/>
      <c r="J329" s="3"/>
      <c r="K329" s="3"/>
      <c r="L329" s="3" t="s">
        <v>90</v>
      </c>
      <c r="M329" s="3">
        <v>10</v>
      </c>
      <c r="N329" s="3" t="s">
        <v>290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89</v>
      </c>
      <c r="C330" s="3" t="s">
        <v>140</v>
      </c>
      <c r="D330" s="3"/>
      <c r="E330" s="3" t="s">
        <v>140</v>
      </c>
      <c r="F330" s="3"/>
      <c r="G330" s="3"/>
      <c r="H330" s="3"/>
      <c r="I330" s="3"/>
      <c r="J330" s="3"/>
      <c r="K330" s="3"/>
      <c r="L330" s="3" t="s">
        <v>90</v>
      </c>
      <c r="M330" s="3">
        <v>20</v>
      </c>
      <c r="N330" s="3" t="s">
        <v>109</v>
      </c>
      <c r="O330" s="3"/>
      <c r="P330" s="3"/>
      <c r="Q330" s="3">
        <v>2.0569999999999999</v>
      </c>
      <c r="R330" s="3" t="s">
        <v>15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89</v>
      </c>
      <c r="C331" s="3" t="s">
        <v>140</v>
      </c>
      <c r="D331" s="3"/>
      <c r="E331" s="3" t="s">
        <v>140</v>
      </c>
      <c r="F331" s="3"/>
      <c r="G331" s="3"/>
      <c r="H331" s="3"/>
      <c r="I331" s="3"/>
      <c r="J331" s="3"/>
      <c r="K331" s="3"/>
      <c r="L331" s="3" t="s">
        <v>90</v>
      </c>
      <c r="M331" s="3">
        <v>30</v>
      </c>
      <c r="N331" s="3" t="s">
        <v>110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89</v>
      </c>
      <c r="C332" s="3" t="s">
        <v>140</v>
      </c>
      <c r="D332" s="3"/>
      <c r="E332" s="3" t="s">
        <v>140</v>
      </c>
      <c r="F332" s="3"/>
      <c r="G332" s="3"/>
      <c r="H332" s="3"/>
      <c r="I332" s="3"/>
      <c r="J332" s="3"/>
      <c r="K332" s="3"/>
      <c r="L332" s="3" t="s">
        <v>90</v>
      </c>
      <c r="M332" s="3">
        <v>40</v>
      </c>
      <c r="N332" s="3" t="s">
        <v>105</v>
      </c>
      <c r="O332" s="3"/>
      <c r="P332" s="3"/>
      <c r="Q332" s="3">
        <v>0.4</v>
      </c>
      <c r="R332" s="3" t="s">
        <v>106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89</v>
      </c>
      <c r="C333" s="3" t="s">
        <v>140</v>
      </c>
      <c r="D333" s="3"/>
      <c r="E333" s="3" t="s">
        <v>140</v>
      </c>
      <c r="F333" s="3"/>
      <c r="G333" s="3"/>
      <c r="H333" s="3"/>
      <c r="I333" s="3"/>
      <c r="J333" s="3"/>
      <c r="K333" s="3"/>
      <c r="L333" s="3" t="s">
        <v>90</v>
      </c>
      <c r="M333" s="3">
        <v>50</v>
      </c>
      <c r="N333" s="3" t="s">
        <v>107</v>
      </c>
      <c r="O333" s="3"/>
      <c r="P333" s="3"/>
      <c r="Q333" s="3">
        <v>13.715999999999999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89</v>
      </c>
      <c r="C334" s="3" t="s">
        <v>140</v>
      </c>
      <c r="D334" s="3"/>
      <c r="E334" s="3" t="s">
        <v>140</v>
      </c>
      <c r="F334" s="3"/>
      <c r="G334" s="3"/>
      <c r="H334" s="3"/>
      <c r="I334" s="3"/>
      <c r="J334" s="3"/>
      <c r="K334" s="3"/>
      <c r="L334" s="3" t="s">
        <v>90</v>
      </c>
      <c r="M334" s="3">
        <v>60</v>
      </c>
      <c r="N334" s="3" t="s">
        <v>18</v>
      </c>
      <c r="O334" s="3"/>
      <c r="P334" s="3"/>
      <c r="Q334" s="3">
        <v>84.352999999999994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89</v>
      </c>
      <c r="C335" s="3" t="s">
        <v>140</v>
      </c>
      <c r="D335" s="3"/>
      <c r="E335" s="3" t="s">
        <v>140</v>
      </c>
      <c r="F335" s="3"/>
      <c r="G335" s="3"/>
      <c r="H335" s="3"/>
      <c r="I335" s="3"/>
      <c r="J335" s="3"/>
      <c r="K335" s="3"/>
      <c r="L335" s="3" t="s">
        <v>90</v>
      </c>
      <c r="M335" s="3">
        <v>70</v>
      </c>
      <c r="N335" s="3" t="s">
        <v>113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89</v>
      </c>
      <c r="C336" s="3" t="s">
        <v>140</v>
      </c>
      <c r="D336" s="3"/>
      <c r="E336" s="3" t="s">
        <v>140</v>
      </c>
      <c r="F336" s="3"/>
      <c r="G336" s="3"/>
      <c r="H336" s="3"/>
      <c r="I336" s="3"/>
      <c r="J336" s="3"/>
      <c r="K336" s="3"/>
      <c r="L336" s="3" t="s">
        <v>90</v>
      </c>
      <c r="M336" s="3">
        <v>80</v>
      </c>
      <c r="N336" s="3" t="s">
        <v>21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89</v>
      </c>
      <c r="C337" s="3" t="s">
        <v>140</v>
      </c>
      <c r="D337" s="3"/>
      <c r="E337" s="3" t="s">
        <v>140</v>
      </c>
      <c r="F337" s="3"/>
      <c r="G337" s="3"/>
      <c r="H337" s="3"/>
      <c r="I337" s="3"/>
      <c r="J337" s="3"/>
      <c r="K337" s="3"/>
      <c r="L337" s="3" t="s">
        <v>90</v>
      </c>
      <c r="M337" s="3">
        <v>90</v>
      </c>
      <c r="N337" s="3" t="s">
        <v>22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89</v>
      </c>
      <c r="C338" s="3" t="s">
        <v>140</v>
      </c>
      <c r="D338" s="3"/>
      <c r="E338" s="3" t="s">
        <v>140</v>
      </c>
      <c r="F338" s="3"/>
      <c r="G338" s="3"/>
      <c r="H338" s="3"/>
      <c r="I338" s="3"/>
      <c r="J338" s="3"/>
      <c r="K338" s="3"/>
      <c r="L338" s="3" t="s">
        <v>90</v>
      </c>
      <c r="M338" s="3">
        <v>100</v>
      </c>
      <c r="N338" s="3" t="s">
        <v>23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89</v>
      </c>
      <c r="C339" s="3" t="s">
        <v>140</v>
      </c>
      <c r="D339" s="3"/>
      <c r="E339" s="3" t="s">
        <v>140</v>
      </c>
      <c r="F339" s="3"/>
      <c r="G339" s="3"/>
      <c r="H339" s="3"/>
      <c r="I339" s="3"/>
      <c r="J339" s="3"/>
      <c r="K339" s="3"/>
      <c r="L339" s="3" t="s">
        <v>90</v>
      </c>
      <c r="M339" s="3">
        <v>110</v>
      </c>
      <c r="N339" s="3" t="s">
        <v>111</v>
      </c>
      <c r="O339" s="3"/>
      <c r="P339" s="3"/>
      <c r="Q339" s="3">
        <v>1.216</v>
      </c>
      <c r="R339" s="3" t="s">
        <v>13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89</v>
      </c>
      <c r="C340" s="3" t="s">
        <v>140</v>
      </c>
      <c r="D340" s="3"/>
      <c r="E340" s="3" t="s">
        <v>140</v>
      </c>
      <c r="F340" s="3"/>
      <c r="G340" s="3"/>
      <c r="H340" s="3"/>
      <c r="I340" s="3"/>
      <c r="J340" s="3"/>
      <c r="K340" s="3"/>
      <c r="L340" s="3" t="s">
        <v>90</v>
      </c>
      <c r="M340" s="3">
        <v>120</v>
      </c>
      <c r="N340" s="3" t="s">
        <v>180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89</v>
      </c>
      <c r="C341" s="3" t="s">
        <v>141</v>
      </c>
      <c r="D341" s="3"/>
      <c r="E341" s="3" t="s">
        <v>141</v>
      </c>
      <c r="F341" s="3"/>
      <c r="G341" s="3"/>
      <c r="H341" s="3"/>
      <c r="I341" s="3"/>
      <c r="J341" s="3"/>
      <c r="K341" s="3"/>
      <c r="L341" s="3" t="s">
        <v>90</v>
      </c>
      <c r="M341" s="3">
        <v>10</v>
      </c>
      <c r="N341" s="3" t="s">
        <v>291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89</v>
      </c>
      <c r="C342" s="3" t="s">
        <v>141</v>
      </c>
      <c r="D342" s="3"/>
      <c r="E342" s="3" t="s">
        <v>141</v>
      </c>
      <c r="F342" s="3"/>
      <c r="G342" s="3"/>
      <c r="H342" s="3"/>
      <c r="I342" s="3"/>
      <c r="J342" s="3"/>
      <c r="K342" s="3"/>
      <c r="L342" s="3" t="s">
        <v>90</v>
      </c>
      <c r="M342" s="3">
        <v>20</v>
      </c>
      <c r="N342" s="3" t="s">
        <v>109</v>
      </c>
      <c r="O342" s="3"/>
      <c r="P342" s="3"/>
      <c r="Q342" s="3">
        <v>2.0569999999999999</v>
      </c>
      <c r="R342" s="3" t="s">
        <v>15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89</v>
      </c>
      <c r="C343" s="3" t="s">
        <v>141</v>
      </c>
      <c r="D343" s="3"/>
      <c r="E343" s="3" t="s">
        <v>141</v>
      </c>
      <c r="F343" s="3"/>
      <c r="G343" s="3"/>
      <c r="H343" s="3"/>
      <c r="I343" s="3"/>
      <c r="J343" s="3"/>
      <c r="K343" s="3"/>
      <c r="L343" s="3" t="s">
        <v>90</v>
      </c>
      <c r="M343" s="3">
        <v>30</v>
      </c>
      <c r="N343" s="3" t="s">
        <v>110</v>
      </c>
      <c r="O343" s="3"/>
      <c r="P343" s="3"/>
      <c r="Q343" s="3">
        <v>2.0569999999999999</v>
      </c>
      <c r="R343" s="3" t="s">
        <v>15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89</v>
      </c>
      <c r="C344" s="3" t="s">
        <v>141</v>
      </c>
      <c r="D344" s="3"/>
      <c r="E344" s="3" t="s">
        <v>141</v>
      </c>
      <c r="F344" s="3"/>
      <c r="G344" s="3"/>
      <c r="H344" s="3"/>
      <c r="I344" s="3"/>
      <c r="J344" s="3"/>
      <c r="K344" s="3"/>
      <c r="L344" s="3" t="s">
        <v>90</v>
      </c>
      <c r="M344" s="3">
        <v>40</v>
      </c>
      <c r="N344" s="3" t="s">
        <v>105</v>
      </c>
      <c r="O344" s="3"/>
      <c r="P344" s="3"/>
      <c r="Q344" s="3">
        <v>0.42399999999999999</v>
      </c>
      <c r="R344" s="3" t="s">
        <v>106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89</v>
      </c>
      <c r="C345" s="3" t="s">
        <v>141</v>
      </c>
      <c r="D345" s="3"/>
      <c r="E345" s="3" t="s">
        <v>141</v>
      </c>
      <c r="F345" s="3"/>
      <c r="G345" s="3"/>
      <c r="H345" s="3"/>
      <c r="I345" s="3"/>
      <c r="J345" s="3"/>
      <c r="K345" s="3"/>
      <c r="L345" s="3" t="s">
        <v>90</v>
      </c>
      <c r="M345" s="3">
        <v>50</v>
      </c>
      <c r="N345" s="3" t="s">
        <v>107</v>
      </c>
      <c r="O345" s="3"/>
      <c r="P345" s="3"/>
      <c r="Q345" s="3">
        <v>14.021000000000001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89</v>
      </c>
      <c r="C346" s="3" t="s">
        <v>141</v>
      </c>
      <c r="D346" s="3"/>
      <c r="E346" s="3" t="s">
        <v>141</v>
      </c>
      <c r="F346" s="3"/>
      <c r="G346" s="3"/>
      <c r="H346" s="3"/>
      <c r="I346" s="3"/>
      <c r="J346" s="3"/>
      <c r="K346" s="3"/>
      <c r="L346" s="3" t="s">
        <v>90</v>
      </c>
      <c r="M346" s="3">
        <v>60</v>
      </c>
      <c r="N346" s="3" t="s">
        <v>18</v>
      </c>
      <c r="O346" s="3"/>
      <c r="P346" s="3"/>
      <c r="Q346" s="3">
        <v>86.227999999999994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89</v>
      </c>
      <c r="C347" s="3" t="s">
        <v>141</v>
      </c>
      <c r="D347" s="3"/>
      <c r="E347" s="3" t="s">
        <v>141</v>
      </c>
      <c r="F347" s="3"/>
      <c r="G347" s="3"/>
      <c r="H347" s="3"/>
      <c r="I347" s="3"/>
      <c r="J347" s="3"/>
      <c r="K347" s="3"/>
      <c r="L347" s="3" t="s">
        <v>90</v>
      </c>
      <c r="M347" s="3">
        <v>70</v>
      </c>
      <c r="N347" s="3" t="s">
        <v>113</v>
      </c>
      <c r="O347" s="3"/>
      <c r="P347" s="3"/>
      <c r="Q347" s="3">
        <v>4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89</v>
      </c>
      <c r="C348" s="3" t="s">
        <v>141</v>
      </c>
      <c r="D348" s="3"/>
      <c r="E348" s="3" t="s">
        <v>141</v>
      </c>
      <c r="F348" s="3"/>
      <c r="G348" s="3"/>
      <c r="H348" s="3"/>
      <c r="I348" s="3"/>
      <c r="J348" s="3"/>
      <c r="K348" s="3"/>
      <c r="L348" s="3" t="s">
        <v>90</v>
      </c>
      <c r="M348" s="3">
        <v>80</v>
      </c>
      <c r="N348" s="3" t="s">
        <v>21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89</v>
      </c>
      <c r="C349" s="3" t="s">
        <v>141</v>
      </c>
      <c r="D349" s="3"/>
      <c r="E349" s="3" t="s">
        <v>141</v>
      </c>
      <c r="F349" s="3"/>
      <c r="G349" s="3"/>
      <c r="H349" s="3"/>
      <c r="I349" s="3"/>
      <c r="J349" s="3"/>
      <c r="K349" s="3"/>
      <c r="L349" s="3" t="s">
        <v>90</v>
      </c>
      <c r="M349" s="3">
        <v>90</v>
      </c>
      <c r="N349" s="3" t="s">
        <v>22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89</v>
      </c>
      <c r="C350" s="3" t="s">
        <v>141</v>
      </c>
      <c r="D350" s="3"/>
      <c r="E350" s="3" t="s">
        <v>141</v>
      </c>
      <c r="F350" s="3"/>
      <c r="G350" s="3"/>
      <c r="H350" s="3"/>
      <c r="I350" s="3"/>
      <c r="J350" s="3"/>
      <c r="K350" s="3"/>
      <c r="L350" s="3" t="s">
        <v>90</v>
      </c>
      <c r="M350" s="3">
        <v>100</v>
      </c>
      <c r="N350" s="3" t="s">
        <v>23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89</v>
      </c>
      <c r="C351" s="3" t="s">
        <v>141</v>
      </c>
      <c r="D351" s="3"/>
      <c r="E351" s="3" t="s">
        <v>141</v>
      </c>
      <c r="F351" s="3"/>
      <c r="G351" s="3"/>
      <c r="H351" s="3"/>
      <c r="I351" s="3"/>
      <c r="J351" s="3"/>
      <c r="K351" s="3"/>
      <c r="L351" s="3" t="s">
        <v>90</v>
      </c>
      <c r="M351" s="3">
        <v>110</v>
      </c>
      <c r="N351" s="3" t="s">
        <v>111</v>
      </c>
      <c r="O351" s="3"/>
      <c r="P351" s="3"/>
      <c r="Q351" s="3">
        <v>1.216</v>
      </c>
      <c r="R351" s="3" t="s">
        <v>13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89</v>
      </c>
      <c r="C352" s="3" t="s">
        <v>141</v>
      </c>
      <c r="D352" s="3"/>
      <c r="E352" s="3" t="s">
        <v>141</v>
      </c>
      <c r="F352" s="3"/>
      <c r="G352" s="3"/>
      <c r="H352" s="3"/>
      <c r="I352" s="3"/>
      <c r="J352" s="3"/>
      <c r="K352" s="3"/>
      <c r="L352" s="3" t="s">
        <v>90</v>
      </c>
      <c r="M352" s="3">
        <v>120</v>
      </c>
      <c r="N352" s="3" t="s">
        <v>181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89</v>
      </c>
      <c r="C353" s="3" t="s">
        <v>142</v>
      </c>
      <c r="D353" s="3"/>
      <c r="E353" s="3" t="s">
        <v>142</v>
      </c>
      <c r="F353" s="3"/>
      <c r="G353" s="3"/>
      <c r="H353" s="3"/>
      <c r="I353" s="3"/>
      <c r="J353" s="3"/>
      <c r="K353" s="3"/>
      <c r="L353" s="3" t="s">
        <v>90</v>
      </c>
      <c r="M353" s="3">
        <v>10</v>
      </c>
      <c r="N353" s="3" t="s">
        <v>292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89</v>
      </c>
      <c r="C354" s="3" t="s">
        <v>142</v>
      </c>
      <c r="D354" s="3"/>
      <c r="E354" s="3" t="s">
        <v>142</v>
      </c>
      <c r="F354" s="3"/>
      <c r="G354" s="3"/>
      <c r="H354" s="3"/>
      <c r="I354" s="3"/>
      <c r="J354" s="3"/>
      <c r="K354" s="3"/>
      <c r="L354" s="3" t="s">
        <v>90</v>
      </c>
      <c r="M354" s="3">
        <v>20</v>
      </c>
      <c r="N354" s="3" t="s">
        <v>109</v>
      </c>
      <c r="O354" s="3"/>
      <c r="P354" s="3"/>
      <c r="Q354" s="3">
        <v>2.0569999999999999</v>
      </c>
      <c r="R354" s="3" t="s">
        <v>15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89</v>
      </c>
      <c r="C355" s="3" t="s">
        <v>142</v>
      </c>
      <c r="D355" s="3"/>
      <c r="E355" s="3" t="s">
        <v>142</v>
      </c>
      <c r="F355" s="3"/>
      <c r="G355" s="3"/>
      <c r="H355" s="3"/>
      <c r="I355" s="3"/>
      <c r="J355" s="3"/>
      <c r="K355" s="3"/>
      <c r="L355" s="3" t="s">
        <v>90</v>
      </c>
      <c r="M355" s="3">
        <v>30</v>
      </c>
      <c r="N355" s="3" t="s">
        <v>110</v>
      </c>
      <c r="O355" s="3"/>
      <c r="P355" s="3"/>
      <c r="Q355" s="3">
        <v>2.0569999999999999</v>
      </c>
      <c r="R355" s="3" t="s">
        <v>15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89</v>
      </c>
      <c r="C356" s="3" t="s">
        <v>142</v>
      </c>
      <c r="D356" s="3"/>
      <c r="E356" s="3" t="s">
        <v>142</v>
      </c>
      <c r="F356" s="3"/>
      <c r="G356" s="3"/>
      <c r="H356" s="3"/>
      <c r="I356" s="3"/>
      <c r="J356" s="3"/>
      <c r="K356" s="3"/>
      <c r="L356" s="3" t="s">
        <v>90</v>
      </c>
      <c r="M356" s="3">
        <v>40</v>
      </c>
      <c r="N356" s="3" t="s">
        <v>105</v>
      </c>
      <c r="O356" s="3"/>
      <c r="P356" s="3"/>
      <c r="Q356" s="3">
        <v>0.44800000000000001</v>
      </c>
      <c r="R356" s="3" t="s">
        <v>106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89</v>
      </c>
      <c r="C357" s="3" t="s">
        <v>142</v>
      </c>
      <c r="D357" s="3"/>
      <c r="E357" s="3" t="s">
        <v>142</v>
      </c>
      <c r="F357" s="3"/>
      <c r="G357" s="3"/>
      <c r="H357" s="3"/>
      <c r="I357" s="3"/>
      <c r="J357" s="3"/>
      <c r="K357" s="3"/>
      <c r="L357" s="3" t="s">
        <v>90</v>
      </c>
      <c r="M357" s="3">
        <v>50</v>
      </c>
      <c r="N357" s="3" t="s">
        <v>107</v>
      </c>
      <c r="O357" s="3"/>
      <c r="P357" s="3"/>
      <c r="Q357" s="3">
        <v>14.326000000000001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89</v>
      </c>
      <c r="C358" s="3" t="s">
        <v>142</v>
      </c>
      <c r="D358" s="3"/>
      <c r="E358" s="3" t="s">
        <v>142</v>
      </c>
      <c r="F358" s="3"/>
      <c r="G358" s="3"/>
      <c r="H358" s="3"/>
      <c r="I358" s="3"/>
      <c r="J358" s="3"/>
      <c r="K358" s="3"/>
      <c r="L358" s="3" t="s">
        <v>90</v>
      </c>
      <c r="M358" s="3">
        <v>60</v>
      </c>
      <c r="N358" s="3" t="s">
        <v>18</v>
      </c>
      <c r="O358" s="3"/>
      <c r="P358" s="3"/>
      <c r="Q358" s="3">
        <v>88.102000000000004</v>
      </c>
      <c r="R358" s="3" t="s">
        <v>15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89</v>
      </c>
      <c r="C359" s="3" t="s">
        <v>142</v>
      </c>
      <c r="D359" s="3"/>
      <c r="E359" s="3" t="s">
        <v>142</v>
      </c>
      <c r="F359" s="3"/>
      <c r="G359" s="3"/>
      <c r="H359" s="3"/>
      <c r="I359" s="3"/>
      <c r="J359" s="3"/>
      <c r="K359" s="3"/>
      <c r="L359" s="3" t="s">
        <v>90</v>
      </c>
      <c r="M359" s="3">
        <v>70</v>
      </c>
      <c r="N359" s="3" t="s">
        <v>113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89</v>
      </c>
      <c r="C360" s="3" t="s">
        <v>142</v>
      </c>
      <c r="D360" s="3"/>
      <c r="E360" s="3" t="s">
        <v>142</v>
      </c>
      <c r="F360" s="3"/>
      <c r="G360" s="3"/>
      <c r="H360" s="3"/>
      <c r="I360" s="3"/>
      <c r="J360" s="3"/>
      <c r="K360" s="3"/>
      <c r="L360" s="3" t="s">
        <v>90</v>
      </c>
      <c r="M360" s="3">
        <v>80</v>
      </c>
      <c r="N360" s="3" t="s">
        <v>21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89</v>
      </c>
      <c r="C361" s="3" t="s">
        <v>142</v>
      </c>
      <c r="D361" s="3"/>
      <c r="E361" s="3" t="s">
        <v>142</v>
      </c>
      <c r="F361" s="3"/>
      <c r="G361" s="3"/>
      <c r="H361" s="3"/>
      <c r="I361" s="3"/>
      <c r="J361" s="3"/>
      <c r="K361" s="3"/>
      <c r="L361" s="3" t="s">
        <v>90</v>
      </c>
      <c r="M361" s="3">
        <v>90</v>
      </c>
      <c r="N361" s="3" t="s">
        <v>22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89</v>
      </c>
      <c r="C362" s="3" t="s">
        <v>142</v>
      </c>
      <c r="D362" s="3"/>
      <c r="E362" s="3" t="s">
        <v>142</v>
      </c>
      <c r="F362" s="3"/>
      <c r="G362" s="3"/>
      <c r="H362" s="3"/>
      <c r="I362" s="3"/>
      <c r="J362" s="3"/>
      <c r="K362" s="3"/>
      <c r="L362" s="3" t="s">
        <v>90</v>
      </c>
      <c r="M362" s="3">
        <v>100</v>
      </c>
      <c r="N362" s="3" t="s">
        <v>23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89</v>
      </c>
      <c r="C363" s="3" t="s">
        <v>142</v>
      </c>
      <c r="D363" s="3"/>
      <c r="E363" s="3" t="s">
        <v>142</v>
      </c>
      <c r="F363" s="3"/>
      <c r="G363" s="3"/>
      <c r="H363" s="3"/>
      <c r="I363" s="3"/>
      <c r="J363" s="3"/>
      <c r="K363" s="3"/>
      <c r="L363" s="3" t="s">
        <v>90</v>
      </c>
      <c r="M363" s="3">
        <v>110</v>
      </c>
      <c r="N363" s="3" t="s">
        <v>111</v>
      </c>
      <c r="O363" s="3"/>
      <c r="P363" s="3"/>
      <c r="Q363" s="3">
        <v>1.216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89</v>
      </c>
      <c r="C364" s="3" t="s">
        <v>142</v>
      </c>
      <c r="D364" s="3"/>
      <c r="E364" s="3" t="s">
        <v>142</v>
      </c>
      <c r="F364" s="3"/>
      <c r="G364" s="3"/>
      <c r="H364" s="3"/>
      <c r="I364" s="3"/>
      <c r="J364" s="3"/>
      <c r="K364" s="3"/>
      <c r="L364" s="3" t="s">
        <v>90</v>
      </c>
      <c r="M364" s="3">
        <v>120</v>
      </c>
      <c r="N364" s="3" t="s">
        <v>182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89</v>
      </c>
      <c r="C365" s="3" t="s">
        <v>143</v>
      </c>
      <c r="D365" s="3"/>
      <c r="E365" s="3" t="s">
        <v>143</v>
      </c>
      <c r="F365" s="3"/>
      <c r="G365" s="3"/>
      <c r="H365" s="3"/>
      <c r="I365" s="3"/>
      <c r="J365" s="3"/>
      <c r="K365" s="3"/>
      <c r="L365" s="3" t="s">
        <v>90</v>
      </c>
      <c r="M365" s="3">
        <v>10</v>
      </c>
      <c r="N365" s="3" t="s">
        <v>293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89</v>
      </c>
      <c r="C366" s="3" t="s">
        <v>143</v>
      </c>
      <c r="D366" s="3"/>
      <c r="E366" s="3" t="s">
        <v>143</v>
      </c>
      <c r="F366" s="3"/>
      <c r="G366" s="3"/>
      <c r="H366" s="3"/>
      <c r="I366" s="3"/>
      <c r="J366" s="3"/>
      <c r="K366" s="3"/>
      <c r="L366" s="3" t="s">
        <v>90</v>
      </c>
      <c r="M366" s="3">
        <v>20</v>
      </c>
      <c r="N366" s="3" t="s">
        <v>109</v>
      </c>
      <c r="O366" s="3"/>
      <c r="P366" s="3"/>
      <c r="Q366" s="3">
        <v>2.0569999999999999</v>
      </c>
      <c r="R366" s="3" t="s">
        <v>15</v>
      </c>
      <c r="S366" s="3"/>
      <c r="T366" s="3">
        <v>10</v>
      </c>
      <c r="U366" s="3"/>
      <c r="V366" s="3" t="s">
        <v>16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89</v>
      </c>
      <c r="C367" s="3" t="s">
        <v>143</v>
      </c>
      <c r="D367" s="3"/>
      <c r="E367" s="3" t="s">
        <v>143</v>
      </c>
      <c r="F367" s="3"/>
      <c r="G367" s="3"/>
      <c r="H367" s="3"/>
      <c r="I367" s="3"/>
      <c r="J367" s="3"/>
      <c r="K367" s="3"/>
      <c r="L367" s="3" t="s">
        <v>90</v>
      </c>
      <c r="M367" s="3">
        <v>30</v>
      </c>
      <c r="N367" s="3" t="s">
        <v>110</v>
      </c>
      <c r="O367" s="3"/>
      <c r="P367" s="3"/>
      <c r="Q367" s="3">
        <v>2.0569999999999999</v>
      </c>
      <c r="R367" s="3" t="s">
        <v>15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89</v>
      </c>
      <c r="C368" s="3" t="s">
        <v>143</v>
      </c>
      <c r="D368" s="3"/>
      <c r="E368" s="3" t="s">
        <v>143</v>
      </c>
      <c r="F368" s="3"/>
      <c r="G368" s="3"/>
      <c r="H368" s="3"/>
      <c r="I368" s="3"/>
      <c r="J368" s="3"/>
      <c r="K368" s="3"/>
      <c r="L368" s="3" t="s">
        <v>90</v>
      </c>
      <c r="M368" s="3">
        <v>40</v>
      </c>
      <c r="N368" s="3" t="s">
        <v>105</v>
      </c>
      <c r="O368" s="3"/>
      <c r="P368" s="3"/>
      <c r="Q368" s="3">
        <v>0.496</v>
      </c>
      <c r="R368" s="3" t="s">
        <v>106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89</v>
      </c>
      <c r="C369" s="3" t="s">
        <v>143</v>
      </c>
      <c r="D369" s="3"/>
      <c r="E369" s="3" t="s">
        <v>143</v>
      </c>
      <c r="F369" s="3"/>
      <c r="G369" s="3"/>
      <c r="H369" s="3"/>
      <c r="I369" s="3"/>
      <c r="J369" s="3"/>
      <c r="K369" s="3"/>
      <c r="L369" s="3" t="s">
        <v>90</v>
      </c>
      <c r="M369" s="3">
        <v>50</v>
      </c>
      <c r="N369" s="3" t="s">
        <v>107</v>
      </c>
      <c r="O369" s="3"/>
      <c r="P369" s="3"/>
      <c r="Q369" s="3">
        <v>14.935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89</v>
      </c>
      <c r="C370" s="3" t="s">
        <v>143</v>
      </c>
      <c r="D370" s="3"/>
      <c r="E370" s="3" t="s">
        <v>143</v>
      </c>
      <c r="F370" s="3"/>
      <c r="G370" s="3"/>
      <c r="H370" s="3"/>
      <c r="I370" s="3"/>
      <c r="J370" s="3"/>
      <c r="K370" s="3"/>
      <c r="L370" s="3" t="s">
        <v>90</v>
      </c>
      <c r="M370" s="3">
        <v>60</v>
      </c>
      <c r="N370" s="3" t="s">
        <v>18</v>
      </c>
      <c r="O370" s="3"/>
      <c r="P370" s="3"/>
      <c r="Q370" s="3">
        <v>91.850999999999999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89</v>
      </c>
      <c r="C371" s="3" t="s">
        <v>143</v>
      </c>
      <c r="D371" s="3"/>
      <c r="E371" s="3" t="s">
        <v>143</v>
      </c>
      <c r="F371" s="3"/>
      <c r="G371" s="3"/>
      <c r="H371" s="3"/>
      <c r="I371" s="3"/>
      <c r="J371" s="3"/>
      <c r="K371" s="3"/>
      <c r="L371" s="3" t="s">
        <v>90</v>
      </c>
      <c r="M371" s="3">
        <v>70</v>
      </c>
      <c r="N371" s="3" t="s">
        <v>113</v>
      </c>
      <c r="O371" s="3"/>
      <c r="P371" s="3"/>
      <c r="Q371" s="3">
        <v>4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89</v>
      </c>
      <c r="C372" s="3" t="s">
        <v>143</v>
      </c>
      <c r="D372" s="3"/>
      <c r="E372" s="3" t="s">
        <v>143</v>
      </c>
      <c r="F372" s="3"/>
      <c r="G372" s="3"/>
      <c r="H372" s="3"/>
      <c r="I372" s="3"/>
      <c r="J372" s="3"/>
      <c r="K372" s="3"/>
      <c r="L372" s="3" t="s">
        <v>90</v>
      </c>
      <c r="M372" s="3">
        <v>80</v>
      </c>
      <c r="N372" s="3" t="s">
        <v>21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89</v>
      </c>
      <c r="C373" s="3" t="s">
        <v>143</v>
      </c>
      <c r="D373" s="3"/>
      <c r="E373" s="3" t="s">
        <v>143</v>
      </c>
      <c r="F373" s="3"/>
      <c r="G373" s="3"/>
      <c r="H373" s="3"/>
      <c r="I373" s="3"/>
      <c r="J373" s="3"/>
      <c r="K373" s="3"/>
      <c r="L373" s="3" t="s">
        <v>90</v>
      </c>
      <c r="M373" s="3">
        <v>90</v>
      </c>
      <c r="N373" s="3" t="s">
        <v>22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89</v>
      </c>
      <c r="C374" s="3" t="s">
        <v>143</v>
      </c>
      <c r="D374" s="3"/>
      <c r="E374" s="3" t="s">
        <v>143</v>
      </c>
      <c r="F374" s="3"/>
      <c r="G374" s="3"/>
      <c r="H374" s="3"/>
      <c r="I374" s="3"/>
      <c r="J374" s="3"/>
      <c r="K374" s="3"/>
      <c r="L374" s="3" t="s">
        <v>90</v>
      </c>
      <c r="M374" s="3">
        <v>100</v>
      </c>
      <c r="N374" s="3" t="s">
        <v>23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89</v>
      </c>
      <c r="C375" s="3" t="s">
        <v>143</v>
      </c>
      <c r="D375" s="3"/>
      <c r="E375" s="3" t="s">
        <v>143</v>
      </c>
      <c r="F375" s="3"/>
      <c r="G375" s="3"/>
      <c r="H375" s="3"/>
      <c r="I375" s="3"/>
      <c r="J375" s="3"/>
      <c r="K375" s="3"/>
      <c r="L375" s="3" t="s">
        <v>90</v>
      </c>
      <c r="M375" s="3">
        <v>110</v>
      </c>
      <c r="N375" s="3" t="s">
        <v>111</v>
      </c>
      <c r="O375" s="3"/>
      <c r="P375" s="3"/>
      <c r="Q375" s="3">
        <v>1.216</v>
      </c>
      <c r="R375" s="3" t="s">
        <v>13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89</v>
      </c>
      <c r="C376" s="3" t="s">
        <v>143</v>
      </c>
      <c r="D376" s="3"/>
      <c r="E376" s="3" t="s">
        <v>143</v>
      </c>
      <c r="F376" s="3"/>
      <c r="G376" s="3"/>
      <c r="H376" s="3"/>
      <c r="I376" s="3"/>
      <c r="J376" s="3"/>
      <c r="K376" s="3"/>
      <c r="L376" s="3" t="s">
        <v>90</v>
      </c>
      <c r="M376" s="3">
        <v>120</v>
      </c>
      <c r="N376" s="3" t="s">
        <v>183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16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89</v>
      </c>
      <c r="C377" s="3" t="s">
        <v>144</v>
      </c>
      <c r="D377" s="3"/>
      <c r="E377" s="3" t="s">
        <v>144</v>
      </c>
      <c r="F377" s="3"/>
      <c r="G377" s="3"/>
      <c r="H377" s="3"/>
      <c r="I377" s="3"/>
      <c r="J377" s="3"/>
      <c r="K377" s="3"/>
      <c r="L377" s="3" t="s">
        <v>90</v>
      </c>
      <c r="M377" s="3">
        <v>10</v>
      </c>
      <c r="N377" s="3" t="s">
        <v>294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16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89</v>
      </c>
      <c r="C378" s="3" t="s">
        <v>144</v>
      </c>
      <c r="D378" s="3"/>
      <c r="E378" s="3" t="s">
        <v>144</v>
      </c>
      <c r="F378" s="3"/>
      <c r="G378" s="3"/>
      <c r="H378" s="3"/>
      <c r="I378" s="3"/>
      <c r="J378" s="3"/>
      <c r="K378" s="3"/>
      <c r="L378" s="3" t="s">
        <v>90</v>
      </c>
      <c r="M378" s="3">
        <v>20</v>
      </c>
      <c r="N378" s="3" t="s">
        <v>109</v>
      </c>
      <c r="O378" s="3"/>
      <c r="P378" s="3"/>
      <c r="Q378" s="3">
        <v>2.0569999999999999</v>
      </c>
      <c r="R378" s="3" t="s">
        <v>15</v>
      </c>
      <c r="S378" s="3"/>
      <c r="T378" s="3">
        <v>10</v>
      </c>
      <c r="U378" s="3"/>
      <c r="V378" s="3" t="s">
        <v>16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89</v>
      </c>
      <c r="C379" s="3" t="s">
        <v>144</v>
      </c>
      <c r="D379" s="3"/>
      <c r="E379" s="3" t="s">
        <v>144</v>
      </c>
      <c r="F379" s="3"/>
      <c r="G379" s="3"/>
      <c r="H379" s="3"/>
      <c r="I379" s="3"/>
      <c r="J379" s="3"/>
      <c r="K379" s="3"/>
      <c r="L379" s="3" t="s">
        <v>90</v>
      </c>
      <c r="M379" s="3">
        <v>30</v>
      </c>
      <c r="N379" s="3" t="s">
        <v>110</v>
      </c>
      <c r="O379" s="3"/>
      <c r="P379" s="3"/>
      <c r="Q379" s="3">
        <v>2.0569999999999999</v>
      </c>
      <c r="R379" s="3" t="s">
        <v>15</v>
      </c>
      <c r="S379" s="3"/>
      <c r="T379" s="3">
        <v>10</v>
      </c>
      <c r="U379" s="3"/>
      <c r="V379" s="3" t="s">
        <v>16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89</v>
      </c>
      <c r="C380" s="3" t="s">
        <v>144</v>
      </c>
      <c r="D380" s="3"/>
      <c r="E380" s="3" t="s">
        <v>144</v>
      </c>
      <c r="F380" s="3"/>
      <c r="G380" s="3"/>
      <c r="H380" s="3"/>
      <c r="I380" s="3"/>
      <c r="J380" s="3"/>
      <c r="K380" s="3"/>
      <c r="L380" s="3" t="s">
        <v>90</v>
      </c>
      <c r="M380" s="3">
        <v>40</v>
      </c>
      <c r="N380" s="3" t="s">
        <v>105</v>
      </c>
      <c r="O380" s="3"/>
      <c r="P380" s="3"/>
      <c r="Q380" s="3">
        <v>0.54400000000000004</v>
      </c>
      <c r="R380" s="3" t="s">
        <v>106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89</v>
      </c>
      <c r="C381" s="3" t="s">
        <v>144</v>
      </c>
      <c r="D381" s="3"/>
      <c r="E381" s="3" t="s">
        <v>144</v>
      </c>
      <c r="F381" s="3"/>
      <c r="G381" s="3"/>
      <c r="H381" s="3"/>
      <c r="I381" s="3"/>
      <c r="J381" s="3"/>
      <c r="K381" s="3"/>
      <c r="L381" s="3" t="s">
        <v>90</v>
      </c>
      <c r="M381" s="3">
        <v>50</v>
      </c>
      <c r="N381" s="3" t="s">
        <v>107</v>
      </c>
      <c r="O381" s="3"/>
      <c r="P381" s="3"/>
      <c r="Q381" s="3">
        <v>15.545</v>
      </c>
      <c r="R381" s="3" t="s">
        <v>15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89</v>
      </c>
      <c r="C382" s="3" t="s">
        <v>144</v>
      </c>
      <c r="D382" s="3"/>
      <c r="E382" s="3" t="s">
        <v>144</v>
      </c>
      <c r="F382" s="3"/>
      <c r="G382" s="3"/>
      <c r="H382" s="3"/>
      <c r="I382" s="3"/>
      <c r="J382" s="3"/>
      <c r="K382" s="3"/>
      <c r="L382" s="3" t="s">
        <v>90</v>
      </c>
      <c r="M382" s="3">
        <v>60</v>
      </c>
      <c r="N382" s="3" t="s">
        <v>18</v>
      </c>
      <c r="O382" s="3"/>
      <c r="P382" s="3"/>
      <c r="Q382" s="3">
        <v>95.600999999999999</v>
      </c>
      <c r="R382" s="3" t="s">
        <v>15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89</v>
      </c>
      <c r="C383" s="3" t="s">
        <v>144</v>
      </c>
      <c r="D383" s="3"/>
      <c r="E383" s="3" t="s">
        <v>144</v>
      </c>
      <c r="F383" s="3"/>
      <c r="G383" s="3"/>
      <c r="H383" s="3"/>
      <c r="I383" s="3"/>
      <c r="J383" s="3"/>
      <c r="K383" s="3"/>
      <c r="L383" s="3" t="s">
        <v>90</v>
      </c>
      <c r="M383" s="3">
        <v>70</v>
      </c>
      <c r="N383" s="3" t="s">
        <v>113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89</v>
      </c>
      <c r="C384" s="3" t="s">
        <v>144</v>
      </c>
      <c r="D384" s="3"/>
      <c r="E384" s="3" t="s">
        <v>144</v>
      </c>
      <c r="F384" s="3"/>
      <c r="G384" s="3"/>
      <c r="H384" s="3"/>
      <c r="I384" s="3"/>
      <c r="J384" s="3"/>
      <c r="K384" s="3"/>
      <c r="L384" s="3" t="s">
        <v>90</v>
      </c>
      <c r="M384" s="3">
        <v>80</v>
      </c>
      <c r="N384" s="3" t="s">
        <v>21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89</v>
      </c>
      <c r="C385" s="3" t="s">
        <v>144</v>
      </c>
      <c r="D385" s="3"/>
      <c r="E385" s="3" t="s">
        <v>144</v>
      </c>
      <c r="F385" s="3"/>
      <c r="G385" s="3"/>
      <c r="H385" s="3"/>
      <c r="I385" s="3"/>
      <c r="J385" s="3"/>
      <c r="K385" s="3"/>
      <c r="L385" s="3" t="s">
        <v>90</v>
      </c>
      <c r="M385" s="3">
        <v>90</v>
      </c>
      <c r="N385" s="3" t="s">
        <v>22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89</v>
      </c>
      <c r="C386" s="3" t="s">
        <v>144</v>
      </c>
      <c r="D386" s="3"/>
      <c r="E386" s="3" t="s">
        <v>144</v>
      </c>
      <c r="F386" s="3"/>
      <c r="G386" s="3"/>
      <c r="H386" s="3"/>
      <c r="I386" s="3"/>
      <c r="J386" s="3"/>
      <c r="K386" s="3"/>
      <c r="L386" s="3" t="s">
        <v>90</v>
      </c>
      <c r="M386" s="3">
        <v>100</v>
      </c>
      <c r="N386" s="3" t="s">
        <v>23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89</v>
      </c>
      <c r="C387" s="3" t="s">
        <v>144</v>
      </c>
      <c r="D387" s="3"/>
      <c r="E387" s="3" t="s">
        <v>144</v>
      </c>
      <c r="F387" s="3"/>
      <c r="G387" s="3"/>
      <c r="H387" s="3"/>
      <c r="I387" s="3"/>
      <c r="J387" s="3"/>
      <c r="K387" s="3"/>
      <c r="L387" s="3" t="s">
        <v>90</v>
      </c>
      <c r="M387" s="3">
        <v>110</v>
      </c>
      <c r="N387" s="3" t="s">
        <v>111</v>
      </c>
      <c r="O387" s="3"/>
      <c r="P387" s="3"/>
      <c r="Q387" s="3">
        <v>1.216</v>
      </c>
      <c r="R387" s="3" t="s">
        <v>13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89</v>
      </c>
      <c r="C388" s="3" t="s">
        <v>144</v>
      </c>
      <c r="D388" s="3"/>
      <c r="E388" s="3" t="s">
        <v>144</v>
      </c>
      <c r="F388" s="3"/>
      <c r="G388" s="3"/>
      <c r="H388" s="3"/>
      <c r="I388" s="3"/>
      <c r="J388" s="3"/>
      <c r="K388" s="3"/>
      <c r="L388" s="3" t="s">
        <v>90</v>
      </c>
      <c r="M388" s="3">
        <v>120</v>
      </c>
      <c r="N388" s="3" t="s">
        <v>184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89</v>
      </c>
      <c r="C389" s="3" t="s">
        <v>145</v>
      </c>
      <c r="D389" s="3"/>
      <c r="E389" s="3" t="s">
        <v>145</v>
      </c>
      <c r="F389" s="3"/>
      <c r="G389" s="3"/>
      <c r="H389" s="3"/>
      <c r="I389" s="3"/>
      <c r="J389" s="3"/>
      <c r="K389" s="3"/>
      <c r="L389" s="3" t="s">
        <v>90</v>
      </c>
      <c r="M389" s="3">
        <v>10</v>
      </c>
      <c r="N389" s="3" t="s">
        <v>295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89</v>
      </c>
      <c r="C390" s="3" t="s">
        <v>145</v>
      </c>
      <c r="D390" s="3"/>
      <c r="E390" s="3" t="s">
        <v>145</v>
      </c>
      <c r="F390" s="3"/>
      <c r="G390" s="3"/>
      <c r="H390" s="3"/>
      <c r="I390" s="3"/>
      <c r="J390" s="3"/>
      <c r="K390" s="3"/>
      <c r="L390" s="3" t="s">
        <v>90</v>
      </c>
      <c r="M390" s="3">
        <v>20</v>
      </c>
      <c r="N390" s="3" t="s">
        <v>109</v>
      </c>
      <c r="O390" s="3"/>
      <c r="P390" s="3"/>
      <c r="Q390" s="3">
        <v>2.1589999999999998</v>
      </c>
      <c r="R390" s="3" t="s">
        <v>15</v>
      </c>
      <c r="S390" s="3"/>
      <c r="T390" s="3">
        <v>10</v>
      </c>
      <c r="U390" s="3"/>
      <c r="V390" s="3" t="s">
        <v>16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89</v>
      </c>
      <c r="C391" s="3" t="s">
        <v>145</v>
      </c>
      <c r="D391" s="3"/>
      <c r="E391" s="3" t="s">
        <v>145</v>
      </c>
      <c r="F391" s="3"/>
      <c r="G391" s="3"/>
      <c r="H391" s="3"/>
      <c r="I391" s="3"/>
      <c r="J391" s="3"/>
      <c r="K391" s="3"/>
      <c r="L391" s="3" t="s">
        <v>90</v>
      </c>
      <c r="M391" s="3">
        <v>30</v>
      </c>
      <c r="N391" s="3" t="s">
        <v>110</v>
      </c>
      <c r="O391" s="3"/>
      <c r="P391" s="3"/>
      <c r="Q391" s="3">
        <v>2.1589999999999998</v>
      </c>
      <c r="R391" s="3" t="s">
        <v>15</v>
      </c>
      <c r="S391" s="3"/>
      <c r="T391" s="3">
        <v>10</v>
      </c>
      <c r="U391" s="3"/>
      <c r="V391" s="3" t="s">
        <v>16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89</v>
      </c>
      <c r="C392" s="3" t="s">
        <v>145</v>
      </c>
      <c r="D392" s="3"/>
      <c r="E392" s="3" t="s">
        <v>145</v>
      </c>
      <c r="F392" s="3"/>
      <c r="G392" s="3"/>
      <c r="H392" s="3"/>
      <c r="I392" s="3"/>
      <c r="J392" s="3"/>
      <c r="K392" s="3"/>
      <c r="L392" s="3" t="s">
        <v>90</v>
      </c>
      <c r="M392" s="3">
        <v>40</v>
      </c>
      <c r="N392" s="3" t="s">
        <v>105</v>
      </c>
      <c r="O392" s="3"/>
      <c r="P392" s="3"/>
      <c r="Q392" s="3">
        <v>0.26900000000000002</v>
      </c>
      <c r="R392" s="3" t="s">
        <v>106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89</v>
      </c>
      <c r="C393" s="3" t="s">
        <v>145</v>
      </c>
      <c r="D393" s="3"/>
      <c r="E393" s="3" t="s">
        <v>145</v>
      </c>
      <c r="F393" s="3"/>
      <c r="G393" s="3"/>
      <c r="H393" s="3"/>
      <c r="I393" s="3"/>
      <c r="J393" s="3"/>
      <c r="K393" s="3"/>
      <c r="L393" s="3" t="s">
        <v>90</v>
      </c>
      <c r="M393" s="3">
        <v>50</v>
      </c>
      <c r="N393" s="3" t="s">
        <v>107</v>
      </c>
      <c r="O393" s="3"/>
      <c r="P393" s="3"/>
      <c r="Q393" s="3">
        <v>12.294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89</v>
      </c>
      <c r="C394" s="3" t="s">
        <v>145</v>
      </c>
      <c r="D394" s="3"/>
      <c r="E394" s="3" t="s">
        <v>145</v>
      </c>
      <c r="F394" s="3"/>
      <c r="G394" s="3"/>
      <c r="H394" s="3"/>
      <c r="I394" s="3"/>
      <c r="J394" s="3"/>
      <c r="K394" s="3"/>
      <c r="L394" s="3" t="s">
        <v>90</v>
      </c>
      <c r="M394" s="3">
        <v>60</v>
      </c>
      <c r="N394" s="3" t="s">
        <v>18</v>
      </c>
      <c r="O394" s="3"/>
      <c r="P394" s="3"/>
      <c r="Q394" s="3">
        <v>75.605999999999995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89</v>
      </c>
      <c r="C395" s="3" t="s">
        <v>145</v>
      </c>
      <c r="D395" s="3"/>
      <c r="E395" s="3" t="s">
        <v>145</v>
      </c>
      <c r="F395" s="3"/>
      <c r="G395" s="3"/>
      <c r="H395" s="3"/>
      <c r="I395" s="3"/>
      <c r="J395" s="3"/>
      <c r="K395" s="3"/>
      <c r="L395" s="3" t="s">
        <v>90</v>
      </c>
      <c r="M395" s="3">
        <v>70</v>
      </c>
      <c r="N395" s="3" t="s">
        <v>113</v>
      </c>
      <c r="O395" s="3"/>
      <c r="P395" s="3"/>
      <c r="Q395" s="3">
        <v>4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89</v>
      </c>
      <c r="C396" s="3" t="s">
        <v>145</v>
      </c>
      <c r="D396" s="3"/>
      <c r="E396" s="3" t="s">
        <v>145</v>
      </c>
      <c r="F396" s="3"/>
      <c r="G396" s="3"/>
      <c r="H396" s="3"/>
      <c r="I396" s="3"/>
      <c r="J396" s="3"/>
      <c r="K396" s="3"/>
      <c r="L396" s="3" t="s">
        <v>90</v>
      </c>
      <c r="M396" s="3">
        <v>80</v>
      </c>
      <c r="N396" s="3" t="s">
        <v>21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89</v>
      </c>
      <c r="C397" s="3" t="s">
        <v>145</v>
      </c>
      <c r="D397" s="3"/>
      <c r="E397" s="3" t="s">
        <v>145</v>
      </c>
      <c r="F397" s="3"/>
      <c r="G397" s="3"/>
      <c r="H397" s="3"/>
      <c r="I397" s="3"/>
      <c r="J397" s="3"/>
      <c r="K397" s="3"/>
      <c r="L397" s="3" t="s">
        <v>90</v>
      </c>
      <c r="M397" s="3">
        <v>90</v>
      </c>
      <c r="N397" s="3" t="s">
        <v>22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89</v>
      </c>
      <c r="C398" s="3" t="s">
        <v>145</v>
      </c>
      <c r="D398" s="3"/>
      <c r="E398" s="3" t="s">
        <v>145</v>
      </c>
      <c r="F398" s="3"/>
      <c r="G398" s="3"/>
      <c r="H398" s="3"/>
      <c r="I398" s="3"/>
      <c r="J398" s="3"/>
      <c r="K398" s="3"/>
      <c r="L398" s="3" t="s">
        <v>90</v>
      </c>
      <c r="M398" s="3">
        <v>100</v>
      </c>
      <c r="N398" s="3" t="s">
        <v>23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89</v>
      </c>
      <c r="C399" s="3" t="s">
        <v>145</v>
      </c>
      <c r="D399" s="3"/>
      <c r="E399" s="3" t="s">
        <v>145</v>
      </c>
      <c r="F399" s="3"/>
      <c r="G399" s="3"/>
      <c r="H399" s="3"/>
      <c r="I399" s="3"/>
      <c r="J399" s="3"/>
      <c r="K399" s="3"/>
      <c r="L399" s="3" t="s">
        <v>90</v>
      </c>
      <c r="M399" s="3">
        <v>110</v>
      </c>
      <c r="N399" s="3" t="s">
        <v>111</v>
      </c>
      <c r="O399" s="3"/>
      <c r="P399" s="3"/>
      <c r="Q399" s="3">
        <v>1.27</v>
      </c>
      <c r="R399" s="3" t="s">
        <v>13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89</v>
      </c>
      <c r="C400" s="3" t="s">
        <v>145</v>
      </c>
      <c r="D400" s="3"/>
      <c r="E400" s="3" t="s">
        <v>145</v>
      </c>
      <c r="F400" s="3"/>
      <c r="G400" s="3"/>
      <c r="H400" s="3"/>
      <c r="I400" s="3"/>
      <c r="J400" s="3"/>
      <c r="K400" s="3"/>
      <c r="L400" s="3" t="s">
        <v>90</v>
      </c>
      <c r="M400" s="3">
        <v>120</v>
      </c>
      <c r="N400" s="3" t="s">
        <v>185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89</v>
      </c>
      <c r="C401" s="3" t="s">
        <v>146</v>
      </c>
      <c r="D401" s="3"/>
      <c r="E401" s="3" t="s">
        <v>146</v>
      </c>
      <c r="F401" s="3"/>
      <c r="G401" s="3"/>
      <c r="H401" s="3"/>
      <c r="I401" s="3"/>
      <c r="J401" s="3"/>
      <c r="K401" s="3"/>
      <c r="L401" s="3" t="s">
        <v>90</v>
      </c>
      <c r="M401" s="3">
        <v>10</v>
      </c>
      <c r="N401" s="3" t="s">
        <v>296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16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89</v>
      </c>
      <c r="C402" s="3" t="s">
        <v>146</v>
      </c>
      <c r="D402" s="3"/>
      <c r="E402" s="3" t="s">
        <v>146</v>
      </c>
      <c r="F402" s="3"/>
      <c r="G402" s="3"/>
      <c r="H402" s="3"/>
      <c r="I402" s="3"/>
      <c r="J402" s="3"/>
      <c r="K402" s="3"/>
      <c r="L402" s="3" t="s">
        <v>90</v>
      </c>
      <c r="M402" s="3">
        <v>20</v>
      </c>
      <c r="N402" s="3" t="s">
        <v>109</v>
      </c>
      <c r="O402" s="3"/>
      <c r="P402" s="3"/>
      <c r="Q402" s="3">
        <v>2.1589999999999998</v>
      </c>
      <c r="R402" s="3" t="s">
        <v>15</v>
      </c>
      <c r="S402" s="3"/>
      <c r="T402" s="3">
        <v>10</v>
      </c>
      <c r="U402" s="3"/>
      <c r="V402" s="3" t="s">
        <v>16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89</v>
      </c>
      <c r="C403" s="3" t="s">
        <v>146</v>
      </c>
      <c r="D403" s="3"/>
      <c r="E403" s="3" t="s">
        <v>146</v>
      </c>
      <c r="F403" s="3"/>
      <c r="G403" s="3"/>
      <c r="H403" s="3"/>
      <c r="I403" s="3"/>
      <c r="J403" s="3"/>
      <c r="K403" s="3"/>
      <c r="L403" s="3" t="s">
        <v>90</v>
      </c>
      <c r="M403" s="3">
        <v>30</v>
      </c>
      <c r="N403" s="3" t="s">
        <v>110</v>
      </c>
      <c r="O403" s="3"/>
      <c r="P403" s="3"/>
      <c r="Q403" s="3">
        <v>2.1589999999999998</v>
      </c>
      <c r="R403" s="3" t="s">
        <v>15</v>
      </c>
      <c r="S403" s="3"/>
      <c r="T403" s="3">
        <v>10</v>
      </c>
      <c r="U403" s="3"/>
      <c r="V403" s="3" t="s">
        <v>16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89</v>
      </c>
      <c r="C404" s="3" t="s">
        <v>146</v>
      </c>
      <c r="D404" s="3"/>
      <c r="E404" s="3" t="s">
        <v>146</v>
      </c>
      <c r="F404" s="3"/>
      <c r="G404" s="3"/>
      <c r="H404" s="3"/>
      <c r="I404" s="3"/>
      <c r="J404" s="3"/>
      <c r="K404" s="3"/>
      <c r="L404" s="3" t="s">
        <v>90</v>
      </c>
      <c r="M404" s="3">
        <v>40</v>
      </c>
      <c r="N404" s="3" t="s">
        <v>105</v>
      </c>
      <c r="O404" s="3"/>
      <c r="P404" s="3"/>
      <c r="Q404" s="3">
        <v>0.31900000000000001</v>
      </c>
      <c r="R404" s="3" t="s">
        <v>106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89</v>
      </c>
      <c r="C405" s="3" t="s">
        <v>146</v>
      </c>
      <c r="D405" s="3"/>
      <c r="E405" s="3" t="s">
        <v>146</v>
      </c>
      <c r="F405" s="3"/>
      <c r="G405" s="3"/>
      <c r="H405" s="3"/>
      <c r="I405" s="3"/>
      <c r="J405" s="3"/>
      <c r="K405" s="3"/>
      <c r="L405" s="3" t="s">
        <v>90</v>
      </c>
      <c r="M405" s="3">
        <v>50</v>
      </c>
      <c r="N405" s="3" t="s">
        <v>107</v>
      </c>
      <c r="O405" s="3"/>
      <c r="P405" s="3"/>
      <c r="Q405" s="3">
        <v>12.903</v>
      </c>
      <c r="R405" s="3" t="s">
        <v>15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89</v>
      </c>
      <c r="C406" s="3" t="s">
        <v>146</v>
      </c>
      <c r="D406" s="3"/>
      <c r="E406" s="3" t="s">
        <v>146</v>
      </c>
      <c r="F406" s="3"/>
      <c r="G406" s="3"/>
      <c r="H406" s="3"/>
      <c r="I406" s="3"/>
      <c r="J406" s="3"/>
      <c r="K406" s="3"/>
      <c r="L406" s="3" t="s">
        <v>90</v>
      </c>
      <c r="M406" s="3">
        <v>60</v>
      </c>
      <c r="N406" s="3" t="s">
        <v>18</v>
      </c>
      <c r="O406" s="3"/>
      <c r="P406" s="3"/>
      <c r="Q406" s="3">
        <v>79.355000000000004</v>
      </c>
      <c r="R406" s="3" t="s">
        <v>15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89</v>
      </c>
      <c r="C407" s="3" t="s">
        <v>146</v>
      </c>
      <c r="D407" s="3"/>
      <c r="E407" s="3" t="s">
        <v>146</v>
      </c>
      <c r="F407" s="3"/>
      <c r="G407" s="3"/>
      <c r="H407" s="3"/>
      <c r="I407" s="3"/>
      <c r="J407" s="3"/>
      <c r="K407" s="3"/>
      <c r="L407" s="3" t="s">
        <v>90</v>
      </c>
      <c r="M407" s="3">
        <v>70</v>
      </c>
      <c r="N407" s="3" t="s">
        <v>113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89</v>
      </c>
      <c r="C408" s="3" t="s">
        <v>146</v>
      </c>
      <c r="D408" s="3"/>
      <c r="E408" s="3" t="s">
        <v>146</v>
      </c>
      <c r="F408" s="3"/>
      <c r="G408" s="3"/>
      <c r="H408" s="3"/>
      <c r="I408" s="3"/>
      <c r="J408" s="3"/>
      <c r="K408" s="3"/>
      <c r="L408" s="3" t="s">
        <v>90</v>
      </c>
      <c r="M408" s="3">
        <v>80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89</v>
      </c>
      <c r="C409" s="3" t="s">
        <v>146</v>
      </c>
      <c r="D409" s="3"/>
      <c r="E409" s="3" t="s">
        <v>146</v>
      </c>
      <c r="F409" s="3"/>
      <c r="G409" s="3"/>
      <c r="H409" s="3"/>
      <c r="I409" s="3"/>
      <c r="J409" s="3"/>
      <c r="K409" s="3"/>
      <c r="L409" s="3" t="s">
        <v>90</v>
      </c>
      <c r="M409" s="3">
        <v>90</v>
      </c>
      <c r="N409" s="3" t="s">
        <v>22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89</v>
      </c>
      <c r="C410" s="3" t="s">
        <v>146</v>
      </c>
      <c r="D410" s="3"/>
      <c r="E410" s="3" t="s">
        <v>146</v>
      </c>
      <c r="F410" s="3"/>
      <c r="G410" s="3"/>
      <c r="H410" s="3"/>
      <c r="I410" s="3"/>
      <c r="J410" s="3"/>
      <c r="K410" s="3"/>
      <c r="L410" s="3" t="s">
        <v>90</v>
      </c>
      <c r="M410" s="3">
        <v>100</v>
      </c>
      <c r="N410" s="3" t="s">
        <v>23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89</v>
      </c>
      <c r="C411" s="3" t="s">
        <v>146</v>
      </c>
      <c r="D411" s="3"/>
      <c r="E411" s="3" t="s">
        <v>146</v>
      </c>
      <c r="F411" s="3"/>
      <c r="G411" s="3"/>
      <c r="H411" s="3"/>
      <c r="I411" s="3"/>
      <c r="J411" s="3"/>
      <c r="K411" s="3"/>
      <c r="L411" s="3" t="s">
        <v>90</v>
      </c>
      <c r="M411" s="3">
        <v>110</v>
      </c>
      <c r="N411" s="3" t="s">
        <v>111</v>
      </c>
      <c r="O411" s="3"/>
      <c r="P411" s="3"/>
      <c r="Q411" s="3">
        <v>1.27</v>
      </c>
      <c r="R411" s="3" t="s">
        <v>13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89</v>
      </c>
      <c r="C412" s="3" t="s">
        <v>146</v>
      </c>
      <c r="D412" s="3"/>
      <c r="E412" s="3" t="s">
        <v>146</v>
      </c>
      <c r="F412" s="3"/>
      <c r="G412" s="3"/>
      <c r="H412" s="3"/>
      <c r="I412" s="3"/>
      <c r="J412" s="3"/>
      <c r="K412" s="3"/>
      <c r="L412" s="3" t="s">
        <v>90</v>
      </c>
      <c r="M412" s="3">
        <v>120</v>
      </c>
      <c r="N412" s="3" t="s">
        <v>186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89</v>
      </c>
      <c r="C413" s="3" t="s">
        <v>147</v>
      </c>
      <c r="D413" s="3"/>
      <c r="E413" s="3" t="s">
        <v>147</v>
      </c>
      <c r="F413" s="3"/>
      <c r="G413" s="3"/>
      <c r="H413" s="3"/>
      <c r="I413" s="3"/>
      <c r="J413" s="3"/>
      <c r="K413" s="3"/>
      <c r="L413" s="3" t="s">
        <v>90</v>
      </c>
      <c r="M413" s="3">
        <v>10</v>
      </c>
      <c r="N413" s="3" t="s">
        <v>297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89</v>
      </c>
      <c r="C414" s="3" t="s">
        <v>147</v>
      </c>
      <c r="D414" s="3"/>
      <c r="E414" s="3" t="s">
        <v>147</v>
      </c>
      <c r="F414" s="3"/>
      <c r="G414" s="3"/>
      <c r="H414" s="3"/>
      <c r="I414" s="3"/>
      <c r="J414" s="3"/>
      <c r="K414" s="3"/>
      <c r="L414" s="3" t="s">
        <v>90</v>
      </c>
      <c r="M414" s="3">
        <v>20</v>
      </c>
      <c r="N414" s="3" t="s">
        <v>109</v>
      </c>
      <c r="O414" s="3"/>
      <c r="P414" s="3"/>
      <c r="Q414" s="3">
        <v>2.1589999999999998</v>
      </c>
      <c r="R414" s="3" t="s">
        <v>15</v>
      </c>
      <c r="S414" s="3"/>
      <c r="T414" s="3">
        <v>10</v>
      </c>
      <c r="U414" s="3"/>
      <c r="V414" s="3" t="s">
        <v>16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89</v>
      </c>
      <c r="C415" s="3" t="s">
        <v>147</v>
      </c>
      <c r="D415" s="3"/>
      <c r="E415" s="3" t="s">
        <v>147</v>
      </c>
      <c r="F415" s="3"/>
      <c r="G415" s="3"/>
      <c r="H415" s="3"/>
      <c r="I415" s="3"/>
      <c r="J415" s="3"/>
      <c r="K415" s="3"/>
      <c r="L415" s="3" t="s">
        <v>90</v>
      </c>
      <c r="M415" s="3">
        <v>30</v>
      </c>
      <c r="N415" s="3" t="s">
        <v>110</v>
      </c>
      <c r="O415" s="3"/>
      <c r="P415" s="3"/>
      <c r="Q415" s="3">
        <v>2.1589999999999998</v>
      </c>
      <c r="R415" s="3" t="s">
        <v>15</v>
      </c>
      <c r="S415" s="3"/>
      <c r="T415" s="3">
        <v>10</v>
      </c>
      <c r="U415" s="3"/>
      <c r="V415" s="3" t="s">
        <v>16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89</v>
      </c>
      <c r="C416" s="3" t="s">
        <v>147</v>
      </c>
      <c r="D416" s="3"/>
      <c r="E416" s="3" t="s">
        <v>147</v>
      </c>
      <c r="F416" s="3"/>
      <c r="G416" s="3"/>
      <c r="H416" s="3"/>
      <c r="I416" s="3"/>
      <c r="J416" s="3"/>
      <c r="K416" s="3"/>
      <c r="L416" s="3" t="s">
        <v>90</v>
      </c>
      <c r="M416" s="3">
        <v>40</v>
      </c>
      <c r="N416" s="3" t="s">
        <v>105</v>
      </c>
      <c r="O416" s="3"/>
      <c r="P416" s="3"/>
      <c r="Q416" s="3">
        <v>0.37</v>
      </c>
      <c r="R416" s="3" t="s">
        <v>106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89</v>
      </c>
      <c r="C417" s="3" t="s">
        <v>147</v>
      </c>
      <c r="D417" s="3"/>
      <c r="E417" s="3" t="s">
        <v>147</v>
      </c>
      <c r="F417" s="3"/>
      <c r="G417" s="3"/>
      <c r="H417" s="3"/>
      <c r="I417" s="3"/>
      <c r="J417" s="3"/>
      <c r="K417" s="3"/>
      <c r="L417" s="3" t="s">
        <v>90</v>
      </c>
      <c r="M417" s="3">
        <v>50</v>
      </c>
      <c r="N417" s="3" t="s">
        <v>107</v>
      </c>
      <c r="O417" s="3"/>
      <c r="P417" s="3"/>
      <c r="Q417" s="3">
        <v>13.513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89</v>
      </c>
      <c r="C418" s="3" t="s">
        <v>147</v>
      </c>
      <c r="D418" s="3"/>
      <c r="E418" s="3" t="s">
        <v>147</v>
      </c>
      <c r="F418" s="3"/>
      <c r="G418" s="3"/>
      <c r="H418" s="3"/>
      <c r="I418" s="3"/>
      <c r="J418" s="3"/>
      <c r="K418" s="3"/>
      <c r="L418" s="3" t="s">
        <v>90</v>
      </c>
      <c r="M418" s="3">
        <v>60</v>
      </c>
      <c r="N418" s="3" t="s">
        <v>18</v>
      </c>
      <c r="O418" s="3"/>
      <c r="P418" s="3"/>
      <c r="Q418" s="3">
        <v>83.103999999999999</v>
      </c>
      <c r="R418" s="3" t="s">
        <v>15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89</v>
      </c>
      <c r="C419" s="3" t="s">
        <v>147</v>
      </c>
      <c r="D419" s="3"/>
      <c r="E419" s="3" t="s">
        <v>147</v>
      </c>
      <c r="F419" s="3"/>
      <c r="G419" s="3"/>
      <c r="H419" s="3"/>
      <c r="I419" s="3"/>
      <c r="J419" s="3"/>
      <c r="K419" s="3"/>
      <c r="L419" s="3" t="s">
        <v>90</v>
      </c>
      <c r="M419" s="3">
        <v>70</v>
      </c>
      <c r="N419" s="3" t="s">
        <v>113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89</v>
      </c>
      <c r="C420" s="3" t="s">
        <v>147</v>
      </c>
      <c r="D420" s="3"/>
      <c r="E420" s="3" t="s">
        <v>147</v>
      </c>
      <c r="F420" s="3"/>
      <c r="G420" s="3"/>
      <c r="H420" s="3"/>
      <c r="I420" s="3"/>
      <c r="J420" s="3"/>
      <c r="K420" s="3"/>
      <c r="L420" s="3" t="s">
        <v>90</v>
      </c>
      <c r="M420" s="3">
        <v>80</v>
      </c>
      <c r="N420" s="3" t="s">
        <v>21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89</v>
      </c>
      <c r="C421" s="3" t="s">
        <v>147</v>
      </c>
      <c r="D421" s="3"/>
      <c r="E421" s="3" t="s">
        <v>147</v>
      </c>
      <c r="F421" s="3"/>
      <c r="G421" s="3"/>
      <c r="H421" s="3"/>
      <c r="I421" s="3"/>
      <c r="J421" s="3"/>
      <c r="K421" s="3"/>
      <c r="L421" s="3" t="s">
        <v>90</v>
      </c>
      <c r="M421" s="3">
        <v>90</v>
      </c>
      <c r="N421" s="3" t="s">
        <v>22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89</v>
      </c>
      <c r="C422" s="3" t="s">
        <v>147</v>
      </c>
      <c r="D422" s="3"/>
      <c r="E422" s="3" t="s">
        <v>147</v>
      </c>
      <c r="F422" s="3"/>
      <c r="G422" s="3"/>
      <c r="H422" s="3"/>
      <c r="I422" s="3"/>
      <c r="J422" s="3"/>
      <c r="K422" s="3"/>
      <c r="L422" s="3" t="s">
        <v>90</v>
      </c>
      <c r="M422" s="3">
        <v>100</v>
      </c>
      <c r="N422" s="3" t="s">
        <v>23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89</v>
      </c>
      <c r="C423" s="3" t="s">
        <v>147</v>
      </c>
      <c r="D423" s="3"/>
      <c r="E423" s="3" t="s">
        <v>147</v>
      </c>
      <c r="F423" s="3"/>
      <c r="G423" s="3"/>
      <c r="H423" s="3"/>
      <c r="I423" s="3"/>
      <c r="J423" s="3"/>
      <c r="K423" s="3"/>
      <c r="L423" s="3" t="s">
        <v>90</v>
      </c>
      <c r="M423" s="3">
        <v>110</v>
      </c>
      <c r="N423" s="3" t="s">
        <v>111</v>
      </c>
      <c r="O423" s="3"/>
      <c r="P423" s="3"/>
      <c r="Q423" s="3">
        <v>1.27</v>
      </c>
      <c r="R423" s="3" t="s">
        <v>13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89</v>
      </c>
      <c r="C424" s="3" t="s">
        <v>147</v>
      </c>
      <c r="D424" s="3"/>
      <c r="E424" s="3" t="s">
        <v>147</v>
      </c>
      <c r="F424" s="3"/>
      <c r="G424" s="3"/>
      <c r="H424" s="3"/>
      <c r="I424" s="3"/>
      <c r="J424" s="3"/>
      <c r="K424" s="3"/>
      <c r="L424" s="3" t="s">
        <v>90</v>
      </c>
      <c r="M424" s="3">
        <v>120</v>
      </c>
      <c r="N424" s="3" t="s">
        <v>187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89</v>
      </c>
      <c r="C425" s="3" t="s">
        <v>148</v>
      </c>
      <c r="D425" s="3"/>
      <c r="E425" s="3" t="s">
        <v>148</v>
      </c>
      <c r="F425" s="3"/>
      <c r="G425" s="3"/>
      <c r="H425" s="3"/>
      <c r="I425" s="3"/>
      <c r="J425" s="3"/>
      <c r="K425" s="3"/>
      <c r="L425" s="3" t="s">
        <v>90</v>
      </c>
      <c r="M425" s="3">
        <v>10</v>
      </c>
      <c r="N425" s="3" t="s">
        <v>298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89</v>
      </c>
      <c r="C426" s="3" t="s">
        <v>148</v>
      </c>
      <c r="D426" s="3"/>
      <c r="E426" s="3" t="s">
        <v>148</v>
      </c>
      <c r="F426" s="3"/>
      <c r="G426" s="3"/>
      <c r="H426" s="3"/>
      <c r="I426" s="3"/>
      <c r="J426" s="3"/>
      <c r="K426" s="3"/>
      <c r="L426" s="3" t="s">
        <v>90</v>
      </c>
      <c r="M426" s="3">
        <v>20</v>
      </c>
      <c r="N426" s="3" t="s">
        <v>109</v>
      </c>
      <c r="O426" s="3"/>
      <c r="P426" s="3"/>
      <c r="Q426" s="3">
        <v>2.1589999999999998</v>
      </c>
      <c r="R426" s="3" t="s">
        <v>15</v>
      </c>
      <c r="S426" s="3"/>
      <c r="T426" s="3">
        <v>10</v>
      </c>
      <c r="U426" s="3"/>
      <c r="V426" s="3" t="s">
        <v>16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89</v>
      </c>
      <c r="C427" s="3" t="s">
        <v>148</v>
      </c>
      <c r="D427" s="3"/>
      <c r="E427" s="3" t="s">
        <v>148</v>
      </c>
      <c r="F427" s="3"/>
      <c r="G427" s="3"/>
      <c r="H427" s="3"/>
      <c r="I427" s="3"/>
      <c r="J427" s="3"/>
      <c r="K427" s="3"/>
      <c r="L427" s="3" t="s">
        <v>90</v>
      </c>
      <c r="M427" s="3">
        <v>30</v>
      </c>
      <c r="N427" s="3" t="s">
        <v>110</v>
      </c>
      <c r="O427" s="3"/>
      <c r="P427" s="3"/>
      <c r="Q427" s="3">
        <v>2.1589999999999998</v>
      </c>
      <c r="R427" s="3" t="s">
        <v>15</v>
      </c>
      <c r="S427" s="3"/>
      <c r="T427" s="3">
        <v>10</v>
      </c>
      <c r="U427" s="3"/>
      <c r="V427" s="3" t="s">
        <v>16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89</v>
      </c>
      <c r="C428" s="3" t="s">
        <v>148</v>
      </c>
      <c r="D428" s="3"/>
      <c r="E428" s="3" t="s">
        <v>148</v>
      </c>
      <c r="F428" s="3"/>
      <c r="G428" s="3"/>
      <c r="H428" s="3"/>
      <c r="I428" s="3"/>
      <c r="J428" s="3"/>
      <c r="K428" s="3"/>
      <c r="L428" s="3" t="s">
        <v>90</v>
      </c>
      <c r="M428" s="3">
        <v>40</v>
      </c>
      <c r="N428" s="3" t="s">
        <v>105</v>
      </c>
      <c r="O428" s="3"/>
      <c r="P428" s="3"/>
      <c r="Q428" s="3">
        <v>0.42</v>
      </c>
      <c r="R428" s="3" t="s">
        <v>106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89</v>
      </c>
      <c r="C429" s="3" t="s">
        <v>148</v>
      </c>
      <c r="D429" s="3"/>
      <c r="E429" s="3" t="s">
        <v>148</v>
      </c>
      <c r="F429" s="3"/>
      <c r="G429" s="3"/>
      <c r="H429" s="3"/>
      <c r="I429" s="3"/>
      <c r="J429" s="3"/>
      <c r="K429" s="3"/>
      <c r="L429" s="3" t="s">
        <v>90</v>
      </c>
      <c r="M429" s="3">
        <v>50</v>
      </c>
      <c r="N429" s="3" t="s">
        <v>107</v>
      </c>
      <c r="O429" s="3"/>
      <c r="P429" s="3"/>
      <c r="Q429" s="3">
        <v>14.122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89</v>
      </c>
      <c r="C430" s="3" t="s">
        <v>148</v>
      </c>
      <c r="D430" s="3"/>
      <c r="E430" s="3" t="s">
        <v>148</v>
      </c>
      <c r="F430" s="3"/>
      <c r="G430" s="3"/>
      <c r="H430" s="3"/>
      <c r="I430" s="3"/>
      <c r="J430" s="3"/>
      <c r="K430" s="3"/>
      <c r="L430" s="3" t="s">
        <v>90</v>
      </c>
      <c r="M430" s="3">
        <v>60</v>
      </c>
      <c r="N430" s="3" t="s">
        <v>18</v>
      </c>
      <c r="O430" s="3"/>
      <c r="P430" s="3"/>
      <c r="Q430" s="3">
        <v>86.852999999999994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89</v>
      </c>
      <c r="C431" s="3" t="s">
        <v>148</v>
      </c>
      <c r="D431" s="3"/>
      <c r="E431" s="3" t="s">
        <v>148</v>
      </c>
      <c r="F431" s="3"/>
      <c r="G431" s="3"/>
      <c r="H431" s="3"/>
      <c r="I431" s="3"/>
      <c r="J431" s="3"/>
      <c r="K431" s="3"/>
      <c r="L431" s="3" t="s">
        <v>90</v>
      </c>
      <c r="M431" s="3">
        <v>70</v>
      </c>
      <c r="N431" s="3" t="s">
        <v>113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89</v>
      </c>
      <c r="C432" s="3" t="s">
        <v>148</v>
      </c>
      <c r="D432" s="3"/>
      <c r="E432" s="3" t="s">
        <v>148</v>
      </c>
      <c r="F432" s="3"/>
      <c r="G432" s="3"/>
      <c r="H432" s="3"/>
      <c r="I432" s="3"/>
      <c r="J432" s="3"/>
      <c r="K432" s="3"/>
      <c r="L432" s="3" t="s">
        <v>90</v>
      </c>
      <c r="M432" s="3">
        <v>80</v>
      </c>
      <c r="N432" s="3" t="s">
        <v>21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89</v>
      </c>
      <c r="C433" s="3" t="s">
        <v>148</v>
      </c>
      <c r="D433" s="3"/>
      <c r="E433" s="3" t="s">
        <v>148</v>
      </c>
      <c r="F433" s="3"/>
      <c r="G433" s="3"/>
      <c r="H433" s="3"/>
      <c r="I433" s="3"/>
      <c r="J433" s="3"/>
      <c r="K433" s="3"/>
      <c r="L433" s="3" t="s">
        <v>90</v>
      </c>
      <c r="M433" s="3">
        <v>90</v>
      </c>
      <c r="N433" s="3" t="s">
        <v>22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89</v>
      </c>
      <c r="C434" s="3" t="s">
        <v>148</v>
      </c>
      <c r="D434" s="3"/>
      <c r="E434" s="3" t="s">
        <v>148</v>
      </c>
      <c r="F434" s="3"/>
      <c r="G434" s="3"/>
      <c r="H434" s="3"/>
      <c r="I434" s="3"/>
      <c r="J434" s="3"/>
      <c r="K434" s="3"/>
      <c r="L434" s="3" t="s">
        <v>90</v>
      </c>
      <c r="M434" s="3">
        <v>100</v>
      </c>
      <c r="N434" s="3" t="s">
        <v>23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89</v>
      </c>
      <c r="C435" s="3" t="s">
        <v>148</v>
      </c>
      <c r="D435" s="3"/>
      <c r="E435" s="3" t="s">
        <v>148</v>
      </c>
      <c r="F435" s="3"/>
      <c r="G435" s="3"/>
      <c r="H435" s="3"/>
      <c r="I435" s="3"/>
      <c r="J435" s="3"/>
      <c r="K435" s="3"/>
      <c r="L435" s="3" t="s">
        <v>90</v>
      </c>
      <c r="M435" s="3">
        <v>110</v>
      </c>
      <c r="N435" s="3" t="s">
        <v>111</v>
      </c>
      <c r="O435" s="3"/>
      <c r="P435" s="3"/>
      <c r="Q435" s="3">
        <v>1.27</v>
      </c>
      <c r="R435" s="3" t="s">
        <v>13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89</v>
      </c>
      <c r="C436" s="3" t="s">
        <v>148</v>
      </c>
      <c r="D436" s="3"/>
      <c r="E436" s="3" t="s">
        <v>148</v>
      </c>
      <c r="F436" s="3"/>
      <c r="G436" s="3"/>
      <c r="H436" s="3"/>
      <c r="I436" s="3"/>
      <c r="J436" s="3"/>
      <c r="K436" s="3"/>
      <c r="L436" s="3" t="s">
        <v>90</v>
      </c>
      <c r="M436" s="3">
        <v>120</v>
      </c>
      <c r="N436" s="3" t="s">
        <v>188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89</v>
      </c>
      <c r="C437" s="3" t="s">
        <v>149</v>
      </c>
      <c r="D437" s="3"/>
      <c r="E437" s="3" t="s">
        <v>149</v>
      </c>
      <c r="F437" s="3"/>
      <c r="G437" s="3"/>
      <c r="H437" s="3"/>
      <c r="I437" s="3"/>
      <c r="J437" s="3"/>
      <c r="K437" s="3"/>
      <c r="L437" s="3" t="s">
        <v>90</v>
      </c>
      <c r="M437" s="3">
        <v>10</v>
      </c>
      <c r="N437" s="3" t="s">
        <v>299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89</v>
      </c>
      <c r="C438" s="3" t="s">
        <v>149</v>
      </c>
      <c r="D438" s="3"/>
      <c r="E438" s="3" t="s">
        <v>149</v>
      </c>
      <c r="F438" s="3"/>
      <c r="G438" s="3"/>
      <c r="H438" s="3"/>
      <c r="I438" s="3"/>
      <c r="J438" s="3"/>
      <c r="K438" s="3"/>
      <c r="L438" s="3" t="s">
        <v>90</v>
      </c>
      <c r="M438" s="3">
        <v>20</v>
      </c>
      <c r="N438" s="3" t="s">
        <v>109</v>
      </c>
      <c r="O438" s="3"/>
      <c r="P438" s="3"/>
      <c r="Q438" s="3">
        <v>2.1589999999999998</v>
      </c>
      <c r="R438" s="3" t="s">
        <v>15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89</v>
      </c>
      <c r="C439" s="3" t="s">
        <v>149</v>
      </c>
      <c r="D439" s="3"/>
      <c r="E439" s="3" t="s">
        <v>149</v>
      </c>
      <c r="F439" s="3"/>
      <c r="G439" s="3"/>
      <c r="H439" s="3"/>
      <c r="I439" s="3"/>
      <c r="J439" s="3"/>
      <c r="K439" s="3"/>
      <c r="L439" s="3" t="s">
        <v>90</v>
      </c>
      <c r="M439" s="3">
        <v>30</v>
      </c>
      <c r="N439" s="3" t="s">
        <v>110</v>
      </c>
      <c r="O439" s="3"/>
      <c r="P439" s="3"/>
      <c r="Q439" s="3">
        <v>2.1589999999999998</v>
      </c>
      <c r="R439" s="3" t="s">
        <v>15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89</v>
      </c>
      <c r="C440" s="3" t="s">
        <v>149</v>
      </c>
      <c r="D440" s="3"/>
      <c r="E440" s="3" t="s">
        <v>149</v>
      </c>
      <c r="F440" s="3"/>
      <c r="G440" s="3"/>
      <c r="H440" s="3"/>
      <c r="I440" s="3"/>
      <c r="J440" s="3"/>
      <c r="K440" s="3"/>
      <c r="L440" s="3" t="s">
        <v>90</v>
      </c>
      <c r="M440" s="3">
        <v>40</v>
      </c>
      <c r="N440" s="3" t="s">
        <v>105</v>
      </c>
      <c r="O440" s="3"/>
      <c r="P440" s="3"/>
      <c r="Q440" s="3">
        <v>0.44500000000000001</v>
      </c>
      <c r="R440" s="3" t="s">
        <v>106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89</v>
      </c>
      <c r="C441" s="3" t="s">
        <v>149</v>
      </c>
      <c r="D441" s="3"/>
      <c r="E441" s="3" t="s">
        <v>149</v>
      </c>
      <c r="F441" s="3"/>
      <c r="G441" s="3"/>
      <c r="H441" s="3"/>
      <c r="I441" s="3"/>
      <c r="J441" s="3"/>
      <c r="K441" s="3"/>
      <c r="L441" s="3" t="s">
        <v>90</v>
      </c>
      <c r="M441" s="3">
        <v>50</v>
      </c>
      <c r="N441" s="3" t="s">
        <v>107</v>
      </c>
      <c r="O441" s="3"/>
      <c r="P441" s="3"/>
      <c r="Q441" s="3">
        <v>14.427</v>
      </c>
      <c r="R441" s="3" t="s">
        <v>15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89</v>
      </c>
      <c r="C442" s="3" t="s">
        <v>149</v>
      </c>
      <c r="D442" s="3"/>
      <c r="E442" s="3" t="s">
        <v>149</v>
      </c>
      <c r="F442" s="3"/>
      <c r="G442" s="3"/>
      <c r="H442" s="3"/>
      <c r="I442" s="3"/>
      <c r="J442" s="3"/>
      <c r="K442" s="3"/>
      <c r="L442" s="3" t="s">
        <v>90</v>
      </c>
      <c r="M442" s="3">
        <v>60</v>
      </c>
      <c r="N442" s="3" t="s">
        <v>18</v>
      </c>
      <c r="O442" s="3"/>
      <c r="P442" s="3"/>
      <c r="Q442" s="3">
        <v>88.727000000000004</v>
      </c>
      <c r="R442" s="3" t="s">
        <v>15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89</v>
      </c>
      <c r="C443" s="3" t="s">
        <v>149</v>
      </c>
      <c r="D443" s="3"/>
      <c r="E443" s="3" t="s">
        <v>149</v>
      </c>
      <c r="F443" s="3"/>
      <c r="G443" s="3"/>
      <c r="H443" s="3"/>
      <c r="I443" s="3"/>
      <c r="J443" s="3"/>
      <c r="K443" s="3"/>
      <c r="L443" s="3" t="s">
        <v>90</v>
      </c>
      <c r="M443" s="3">
        <v>70</v>
      </c>
      <c r="N443" s="3" t="s">
        <v>113</v>
      </c>
      <c r="O443" s="3"/>
      <c r="P443" s="3"/>
      <c r="Q443" s="3">
        <v>4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89</v>
      </c>
      <c r="C444" s="3" t="s">
        <v>149</v>
      </c>
      <c r="D444" s="3"/>
      <c r="E444" s="3" t="s">
        <v>149</v>
      </c>
      <c r="F444" s="3"/>
      <c r="G444" s="3"/>
      <c r="H444" s="3"/>
      <c r="I444" s="3"/>
      <c r="J444" s="3"/>
      <c r="K444" s="3"/>
      <c r="L444" s="3" t="s">
        <v>90</v>
      </c>
      <c r="M444" s="3">
        <v>80</v>
      </c>
      <c r="N444" s="3" t="s">
        <v>21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89</v>
      </c>
      <c r="C445" s="3" t="s">
        <v>149</v>
      </c>
      <c r="D445" s="3"/>
      <c r="E445" s="3" t="s">
        <v>149</v>
      </c>
      <c r="F445" s="3"/>
      <c r="G445" s="3"/>
      <c r="H445" s="3"/>
      <c r="I445" s="3"/>
      <c r="J445" s="3"/>
      <c r="K445" s="3"/>
      <c r="L445" s="3" t="s">
        <v>90</v>
      </c>
      <c r="M445" s="3">
        <v>90</v>
      </c>
      <c r="N445" s="3" t="s">
        <v>22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89</v>
      </c>
      <c r="C446" s="3" t="s">
        <v>149</v>
      </c>
      <c r="D446" s="3"/>
      <c r="E446" s="3" t="s">
        <v>149</v>
      </c>
      <c r="F446" s="3"/>
      <c r="G446" s="3"/>
      <c r="H446" s="3"/>
      <c r="I446" s="3"/>
      <c r="J446" s="3"/>
      <c r="K446" s="3"/>
      <c r="L446" s="3" t="s">
        <v>90</v>
      </c>
      <c r="M446" s="3">
        <v>100</v>
      </c>
      <c r="N446" s="3" t="s">
        <v>23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89</v>
      </c>
      <c r="C447" s="3" t="s">
        <v>149</v>
      </c>
      <c r="D447" s="3"/>
      <c r="E447" s="3" t="s">
        <v>149</v>
      </c>
      <c r="F447" s="3"/>
      <c r="G447" s="3"/>
      <c r="H447" s="3"/>
      <c r="I447" s="3"/>
      <c r="J447" s="3"/>
      <c r="K447" s="3"/>
      <c r="L447" s="3" t="s">
        <v>90</v>
      </c>
      <c r="M447" s="3">
        <v>110</v>
      </c>
      <c r="N447" s="3" t="s">
        <v>111</v>
      </c>
      <c r="O447" s="3"/>
      <c r="P447" s="3"/>
      <c r="Q447" s="3">
        <v>1.27</v>
      </c>
      <c r="R447" s="3" t="s">
        <v>13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89</v>
      </c>
      <c r="C448" s="3" t="s">
        <v>149</v>
      </c>
      <c r="D448" s="3"/>
      <c r="E448" s="3" t="s">
        <v>149</v>
      </c>
      <c r="F448" s="3"/>
      <c r="G448" s="3"/>
      <c r="H448" s="3"/>
      <c r="I448" s="3"/>
      <c r="J448" s="3"/>
      <c r="K448" s="3"/>
      <c r="L448" s="3" t="s">
        <v>90</v>
      </c>
      <c r="M448" s="3">
        <v>120</v>
      </c>
      <c r="N448" s="3" t="s">
        <v>189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89</v>
      </c>
      <c r="C449" s="3" t="s">
        <v>150</v>
      </c>
      <c r="D449" s="3"/>
      <c r="E449" s="3" t="s">
        <v>150</v>
      </c>
      <c r="F449" s="3"/>
      <c r="G449" s="3"/>
      <c r="H449" s="3"/>
      <c r="I449" s="3"/>
      <c r="J449" s="3"/>
      <c r="K449" s="3"/>
      <c r="L449" s="3" t="s">
        <v>90</v>
      </c>
      <c r="M449" s="3">
        <v>10</v>
      </c>
      <c r="N449" s="3" t="s">
        <v>300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89</v>
      </c>
      <c r="C450" s="3" t="s">
        <v>150</v>
      </c>
      <c r="D450" s="3"/>
      <c r="E450" s="3" t="s">
        <v>150</v>
      </c>
      <c r="F450" s="3"/>
      <c r="G450" s="3"/>
      <c r="H450" s="3"/>
      <c r="I450" s="3"/>
      <c r="J450" s="3"/>
      <c r="K450" s="3"/>
      <c r="L450" s="3" t="s">
        <v>90</v>
      </c>
      <c r="M450" s="3">
        <v>20</v>
      </c>
      <c r="N450" s="3" t="s">
        <v>109</v>
      </c>
      <c r="O450" s="3"/>
      <c r="P450" s="3"/>
      <c r="Q450" s="3">
        <v>2.1589999999999998</v>
      </c>
      <c r="R450" s="3" t="s">
        <v>15</v>
      </c>
      <c r="S450" s="3"/>
      <c r="T450" s="3">
        <v>10</v>
      </c>
      <c r="U450" s="3"/>
      <c r="V450" s="3" t="s">
        <v>16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89</v>
      </c>
      <c r="C451" s="3" t="s">
        <v>150</v>
      </c>
      <c r="D451" s="3"/>
      <c r="E451" s="3" t="s">
        <v>150</v>
      </c>
      <c r="F451" s="3"/>
      <c r="G451" s="3"/>
      <c r="H451" s="3"/>
      <c r="I451" s="3"/>
      <c r="J451" s="3"/>
      <c r="K451" s="3"/>
      <c r="L451" s="3" t="s">
        <v>90</v>
      </c>
      <c r="M451" s="3">
        <v>30</v>
      </c>
      <c r="N451" s="3" t="s">
        <v>110</v>
      </c>
      <c r="O451" s="3"/>
      <c r="P451" s="3"/>
      <c r="Q451" s="3">
        <v>2.1589999999999998</v>
      </c>
      <c r="R451" s="3" t="s">
        <v>15</v>
      </c>
      <c r="S451" s="3"/>
      <c r="T451" s="3">
        <v>10</v>
      </c>
      <c r="U451" s="3"/>
      <c r="V451" s="3" t="s">
        <v>16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89</v>
      </c>
      <c r="C452" s="3" t="s">
        <v>150</v>
      </c>
      <c r="D452" s="3"/>
      <c r="E452" s="3" t="s">
        <v>150</v>
      </c>
      <c r="F452" s="3"/>
      <c r="G452" s="3"/>
      <c r="H452" s="3"/>
      <c r="I452" s="3"/>
      <c r="J452" s="3"/>
      <c r="K452" s="3"/>
      <c r="L452" s="3" t="s">
        <v>90</v>
      </c>
      <c r="M452" s="3">
        <v>40</v>
      </c>
      <c r="N452" s="3" t="s">
        <v>105</v>
      </c>
      <c r="O452" s="3"/>
      <c r="P452" s="3"/>
      <c r="Q452" s="3">
        <v>0.47099999999999997</v>
      </c>
      <c r="R452" s="3" t="s">
        <v>106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89</v>
      </c>
      <c r="C453" s="3" t="s">
        <v>150</v>
      </c>
      <c r="D453" s="3"/>
      <c r="E453" s="3" t="s">
        <v>150</v>
      </c>
      <c r="F453" s="3"/>
      <c r="G453" s="3"/>
      <c r="H453" s="3"/>
      <c r="I453" s="3"/>
      <c r="J453" s="3"/>
      <c r="K453" s="3"/>
      <c r="L453" s="3" t="s">
        <v>90</v>
      </c>
      <c r="M453" s="3">
        <v>50</v>
      </c>
      <c r="N453" s="3" t="s">
        <v>107</v>
      </c>
      <c r="O453" s="3"/>
      <c r="P453" s="3"/>
      <c r="Q453" s="3">
        <v>14.731999999999999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89</v>
      </c>
      <c r="C454" s="3" t="s">
        <v>150</v>
      </c>
      <c r="D454" s="3"/>
      <c r="E454" s="3" t="s">
        <v>150</v>
      </c>
      <c r="F454" s="3"/>
      <c r="G454" s="3"/>
      <c r="H454" s="3"/>
      <c r="I454" s="3"/>
      <c r="J454" s="3"/>
      <c r="K454" s="3"/>
      <c r="L454" s="3" t="s">
        <v>90</v>
      </c>
      <c r="M454" s="3">
        <v>60</v>
      </c>
      <c r="N454" s="3" t="s">
        <v>18</v>
      </c>
      <c r="O454" s="3"/>
      <c r="P454" s="3"/>
      <c r="Q454" s="3">
        <v>90.602000000000004</v>
      </c>
      <c r="R454" s="3" t="s">
        <v>15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89</v>
      </c>
      <c r="C455" s="3" t="s">
        <v>150</v>
      </c>
      <c r="D455" s="3"/>
      <c r="E455" s="3" t="s">
        <v>150</v>
      </c>
      <c r="F455" s="3"/>
      <c r="G455" s="3"/>
      <c r="H455" s="3"/>
      <c r="I455" s="3"/>
      <c r="J455" s="3"/>
      <c r="K455" s="3"/>
      <c r="L455" s="3" t="s">
        <v>90</v>
      </c>
      <c r="M455" s="3">
        <v>70</v>
      </c>
      <c r="N455" s="3" t="s">
        <v>113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89</v>
      </c>
      <c r="C456" s="3" t="s">
        <v>150</v>
      </c>
      <c r="D456" s="3"/>
      <c r="E456" s="3" t="s">
        <v>150</v>
      </c>
      <c r="F456" s="3"/>
      <c r="G456" s="3"/>
      <c r="H456" s="3"/>
      <c r="I456" s="3"/>
      <c r="J456" s="3"/>
      <c r="K456" s="3"/>
      <c r="L456" s="3" t="s">
        <v>90</v>
      </c>
      <c r="M456" s="3">
        <v>80</v>
      </c>
      <c r="N456" s="3" t="s">
        <v>21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89</v>
      </c>
      <c r="C457" s="3" t="s">
        <v>150</v>
      </c>
      <c r="D457" s="3"/>
      <c r="E457" s="3" t="s">
        <v>150</v>
      </c>
      <c r="F457" s="3"/>
      <c r="G457" s="3"/>
      <c r="H457" s="3"/>
      <c r="I457" s="3"/>
      <c r="J457" s="3"/>
      <c r="K457" s="3"/>
      <c r="L457" s="3" t="s">
        <v>90</v>
      </c>
      <c r="M457" s="3">
        <v>90</v>
      </c>
      <c r="N457" s="3" t="s">
        <v>22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89</v>
      </c>
      <c r="C458" s="3" t="s">
        <v>150</v>
      </c>
      <c r="D458" s="3"/>
      <c r="E458" s="3" t="s">
        <v>150</v>
      </c>
      <c r="F458" s="3"/>
      <c r="G458" s="3"/>
      <c r="H458" s="3"/>
      <c r="I458" s="3"/>
      <c r="J458" s="3"/>
      <c r="K458" s="3"/>
      <c r="L458" s="3" t="s">
        <v>90</v>
      </c>
      <c r="M458" s="3">
        <v>100</v>
      </c>
      <c r="N458" s="3" t="s">
        <v>23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89</v>
      </c>
      <c r="C459" s="3" t="s">
        <v>150</v>
      </c>
      <c r="D459" s="3"/>
      <c r="E459" s="3" t="s">
        <v>150</v>
      </c>
      <c r="F459" s="3"/>
      <c r="G459" s="3"/>
      <c r="H459" s="3"/>
      <c r="I459" s="3"/>
      <c r="J459" s="3"/>
      <c r="K459" s="3"/>
      <c r="L459" s="3" t="s">
        <v>90</v>
      </c>
      <c r="M459" s="3">
        <v>110</v>
      </c>
      <c r="N459" s="3" t="s">
        <v>111</v>
      </c>
      <c r="O459" s="3"/>
      <c r="P459" s="3"/>
      <c r="Q459" s="3">
        <v>1.27</v>
      </c>
      <c r="R459" s="3" t="s">
        <v>13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89</v>
      </c>
      <c r="C460" s="3" t="s">
        <v>150</v>
      </c>
      <c r="D460" s="3"/>
      <c r="E460" s="3" t="s">
        <v>150</v>
      </c>
      <c r="F460" s="3"/>
      <c r="G460" s="3"/>
      <c r="H460" s="3"/>
      <c r="I460" s="3"/>
      <c r="J460" s="3"/>
      <c r="K460" s="3"/>
      <c r="L460" s="3" t="s">
        <v>90</v>
      </c>
      <c r="M460" s="3">
        <v>120</v>
      </c>
      <c r="N460" s="3" t="s">
        <v>190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89</v>
      </c>
      <c r="C461" s="3" t="s">
        <v>151</v>
      </c>
      <c r="D461" s="3"/>
      <c r="E461" s="3" t="s">
        <v>151</v>
      </c>
      <c r="F461" s="3"/>
      <c r="G461" s="3"/>
      <c r="H461" s="3"/>
      <c r="I461" s="3"/>
      <c r="J461" s="3"/>
      <c r="K461" s="3"/>
      <c r="L461" s="3" t="s">
        <v>90</v>
      </c>
      <c r="M461" s="3">
        <v>10</v>
      </c>
      <c r="N461" s="3" t="s">
        <v>301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89</v>
      </c>
      <c r="C462" s="3" t="s">
        <v>151</v>
      </c>
      <c r="D462" s="3"/>
      <c r="E462" s="3" t="s">
        <v>151</v>
      </c>
      <c r="F462" s="3"/>
      <c r="G462" s="3"/>
      <c r="H462" s="3"/>
      <c r="I462" s="3"/>
      <c r="J462" s="3"/>
      <c r="K462" s="3"/>
      <c r="L462" s="3" t="s">
        <v>90</v>
      </c>
      <c r="M462" s="3">
        <v>20</v>
      </c>
      <c r="N462" s="3" t="s">
        <v>109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89</v>
      </c>
      <c r="C463" s="3" t="s">
        <v>151</v>
      </c>
      <c r="D463" s="3"/>
      <c r="E463" s="3" t="s">
        <v>151</v>
      </c>
      <c r="F463" s="3"/>
      <c r="G463" s="3"/>
      <c r="H463" s="3"/>
      <c r="I463" s="3"/>
      <c r="J463" s="3"/>
      <c r="K463" s="3"/>
      <c r="L463" s="3" t="s">
        <v>90</v>
      </c>
      <c r="M463" s="3">
        <v>30</v>
      </c>
      <c r="N463" s="3" t="s">
        <v>110</v>
      </c>
      <c r="O463" s="3"/>
      <c r="P463" s="3"/>
      <c r="Q463" s="3">
        <v>2.1589999999999998</v>
      </c>
      <c r="R463" s="3" t="s">
        <v>15</v>
      </c>
      <c r="S463" s="3"/>
      <c r="T463" s="3">
        <v>10</v>
      </c>
      <c r="U463" s="3"/>
      <c r="V463" s="3" t="s">
        <v>16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89</v>
      </c>
      <c r="C464" s="3" t="s">
        <v>151</v>
      </c>
      <c r="D464" s="3"/>
      <c r="E464" s="3" t="s">
        <v>151</v>
      </c>
      <c r="F464" s="3"/>
      <c r="G464" s="3"/>
      <c r="H464" s="3"/>
      <c r="I464" s="3"/>
      <c r="J464" s="3"/>
      <c r="K464" s="3"/>
      <c r="L464" s="3" t="s">
        <v>90</v>
      </c>
      <c r="M464" s="3">
        <v>40</v>
      </c>
      <c r="N464" s="3" t="s">
        <v>105</v>
      </c>
      <c r="O464" s="3"/>
      <c r="P464" s="3"/>
      <c r="Q464" s="3">
        <v>0.52100000000000002</v>
      </c>
      <c r="R464" s="3" t="s">
        <v>106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89</v>
      </c>
      <c r="C465" s="3" t="s">
        <v>151</v>
      </c>
      <c r="D465" s="3"/>
      <c r="E465" s="3" t="s">
        <v>151</v>
      </c>
      <c r="F465" s="3"/>
      <c r="G465" s="3"/>
      <c r="H465" s="3"/>
      <c r="I465" s="3"/>
      <c r="J465" s="3"/>
      <c r="K465" s="3"/>
      <c r="L465" s="3" t="s">
        <v>90</v>
      </c>
      <c r="M465" s="3">
        <v>50</v>
      </c>
      <c r="N465" s="3" t="s">
        <v>107</v>
      </c>
      <c r="O465" s="3"/>
      <c r="P465" s="3"/>
      <c r="Q465" s="3">
        <v>15.342000000000001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89</v>
      </c>
      <c r="C466" s="3" t="s">
        <v>151</v>
      </c>
      <c r="D466" s="3"/>
      <c r="E466" s="3" t="s">
        <v>151</v>
      </c>
      <c r="F466" s="3"/>
      <c r="G466" s="3"/>
      <c r="H466" s="3"/>
      <c r="I466" s="3"/>
      <c r="J466" s="3"/>
      <c r="K466" s="3"/>
      <c r="L466" s="3" t="s">
        <v>90</v>
      </c>
      <c r="M466" s="3">
        <v>60</v>
      </c>
      <c r="N466" s="3" t="s">
        <v>18</v>
      </c>
      <c r="O466" s="3"/>
      <c r="P466" s="3"/>
      <c r="Q466" s="3">
        <v>94.350999999999999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89</v>
      </c>
      <c r="C467" s="3" t="s">
        <v>151</v>
      </c>
      <c r="D467" s="3"/>
      <c r="E467" s="3" t="s">
        <v>151</v>
      </c>
      <c r="F467" s="3"/>
      <c r="G467" s="3"/>
      <c r="H467" s="3"/>
      <c r="I467" s="3"/>
      <c r="J467" s="3"/>
      <c r="K467" s="3"/>
      <c r="L467" s="3" t="s">
        <v>90</v>
      </c>
      <c r="M467" s="3">
        <v>70</v>
      </c>
      <c r="N467" s="3" t="s">
        <v>113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89</v>
      </c>
      <c r="C468" s="3" t="s">
        <v>151</v>
      </c>
      <c r="D468" s="3"/>
      <c r="E468" s="3" t="s">
        <v>151</v>
      </c>
      <c r="F468" s="3"/>
      <c r="G468" s="3"/>
      <c r="H468" s="3"/>
      <c r="I468" s="3"/>
      <c r="J468" s="3"/>
      <c r="K468" s="3"/>
      <c r="L468" s="3" t="s">
        <v>90</v>
      </c>
      <c r="M468" s="3">
        <v>80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89</v>
      </c>
      <c r="C469" s="3" t="s">
        <v>151</v>
      </c>
      <c r="D469" s="3"/>
      <c r="E469" s="3" t="s">
        <v>151</v>
      </c>
      <c r="F469" s="3"/>
      <c r="G469" s="3"/>
      <c r="H469" s="3"/>
      <c r="I469" s="3"/>
      <c r="J469" s="3"/>
      <c r="K469" s="3"/>
      <c r="L469" s="3" t="s">
        <v>90</v>
      </c>
      <c r="M469" s="3">
        <v>90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89</v>
      </c>
      <c r="C470" s="3" t="s">
        <v>151</v>
      </c>
      <c r="D470" s="3"/>
      <c r="E470" s="3" t="s">
        <v>151</v>
      </c>
      <c r="F470" s="3"/>
      <c r="G470" s="3"/>
      <c r="H470" s="3"/>
      <c r="I470" s="3"/>
      <c r="J470" s="3"/>
      <c r="K470" s="3"/>
      <c r="L470" s="3" t="s">
        <v>90</v>
      </c>
      <c r="M470" s="3">
        <v>100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89</v>
      </c>
      <c r="C471" s="3" t="s">
        <v>151</v>
      </c>
      <c r="D471" s="3"/>
      <c r="E471" s="3" t="s">
        <v>151</v>
      </c>
      <c r="F471" s="3"/>
      <c r="G471" s="3"/>
      <c r="H471" s="3"/>
      <c r="I471" s="3"/>
      <c r="J471" s="3"/>
      <c r="K471" s="3"/>
      <c r="L471" s="3" t="s">
        <v>90</v>
      </c>
      <c r="M471" s="3">
        <v>110</v>
      </c>
      <c r="N471" s="3" t="s">
        <v>111</v>
      </c>
      <c r="O471" s="3"/>
      <c r="P471" s="3"/>
      <c r="Q471" s="3">
        <v>1.27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89</v>
      </c>
      <c r="C472" s="3" t="s">
        <v>151</v>
      </c>
      <c r="D472" s="3"/>
      <c r="E472" s="3" t="s">
        <v>151</v>
      </c>
      <c r="F472" s="3"/>
      <c r="G472" s="3"/>
      <c r="H472" s="3"/>
      <c r="I472" s="3"/>
      <c r="J472" s="3"/>
      <c r="K472" s="3"/>
      <c r="L472" s="3" t="s">
        <v>90</v>
      </c>
      <c r="M472" s="3">
        <v>120</v>
      </c>
      <c r="N472" s="3" t="s">
        <v>191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89</v>
      </c>
      <c r="C473" s="3" t="s">
        <v>152</v>
      </c>
      <c r="D473" s="3"/>
      <c r="E473" s="3" t="s">
        <v>152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302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89</v>
      </c>
      <c r="C474" s="3" t="s">
        <v>152</v>
      </c>
      <c r="D474" s="3"/>
      <c r="E474" s="3" t="s">
        <v>152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109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89</v>
      </c>
      <c r="C475" s="3" t="s">
        <v>152</v>
      </c>
      <c r="D475" s="3"/>
      <c r="E475" s="3" t="s">
        <v>152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110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89</v>
      </c>
      <c r="C476" s="3" t="s">
        <v>152</v>
      </c>
      <c r="D476" s="3"/>
      <c r="E476" s="3" t="s">
        <v>152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0.57099999999999995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89</v>
      </c>
      <c r="C477" s="3" t="s">
        <v>152</v>
      </c>
      <c r="D477" s="3"/>
      <c r="E477" s="3" t="s">
        <v>152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107</v>
      </c>
      <c r="O477" s="3"/>
      <c r="P477" s="3"/>
      <c r="Q477" s="3">
        <v>15.951000000000001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89</v>
      </c>
      <c r="C478" s="3" t="s">
        <v>152</v>
      </c>
      <c r="D478" s="3"/>
      <c r="E478" s="3" t="s">
        <v>152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18</v>
      </c>
      <c r="O478" s="3"/>
      <c r="P478" s="3"/>
      <c r="Q478" s="3">
        <v>98.1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89</v>
      </c>
      <c r="C479" s="3" t="s">
        <v>152</v>
      </c>
      <c r="D479" s="3"/>
      <c r="E479" s="3" t="s">
        <v>152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113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89</v>
      </c>
      <c r="C480" s="3" t="s">
        <v>152</v>
      </c>
      <c r="D480" s="3"/>
      <c r="E480" s="3" t="s">
        <v>152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89</v>
      </c>
      <c r="C481" s="3" t="s">
        <v>152</v>
      </c>
      <c r="D481" s="3"/>
      <c r="E481" s="3" t="s">
        <v>152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22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89</v>
      </c>
      <c r="C482" s="3" t="s">
        <v>152</v>
      </c>
      <c r="D482" s="3"/>
      <c r="E482" s="3" t="s">
        <v>152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23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89</v>
      </c>
      <c r="C483" s="3" t="s">
        <v>152</v>
      </c>
      <c r="D483" s="3"/>
      <c r="E483" s="3" t="s">
        <v>152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111</v>
      </c>
      <c r="O483" s="3"/>
      <c r="P483" s="3"/>
      <c r="Q483" s="3">
        <v>1.27</v>
      </c>
      <c r="R483" s="3" t="s">
        <v>13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89</v>
      </c>
      <c r="C484" s="3" t="s">
        <v>152</v>
      </c>
      <c r="D484" s="3"/>
      <c r="E484" s="3" t="s">
        <v>152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192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89</v>
      </c>
      <c r="C485" s="3" t="s">
        <v>193</v>
      </c>
      <c r="D485" s="3"/>
      <c r="E485" s="3" t="s">
        <v>193</v>
      </c>
      <c r="F485" s="3"/>
      <c r="G485" s="3"/>
      <c r="H485" s="3"/>
      <c r="I485" s="3"/>
      <c r="J485" s="3"/>
      <c r="K485" s="3"/>
      <c r="L485" s="3" t="s">
        <v>90</v>
      </c>
      <c r="M485" s="3">
        <v>10</v>
      </c>
      <c r="N485" s="3" t="s">
        <v>303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89</v>
      </c>
      <c r="C486" s="3" t="s">
        <v>193</v>
      </c>
      <c r="D486" s="3"/>
      <c r="E486" s="3" t="s">
        <v>193</v>
      </c>
      <c r="F486" s="3"/>
      <c r="G486" s="3"/>
      <c r="H486" s="3"/>
      <c r="I486" s="3"/>
      <c r="J486" s="3"/>
      <c r="K486" s="3"/>
      <c r="L486" s="3" t="s">
        <v>90</v>
      </c>
      <c r="M486" s="3">
        <v>20</v>
      </c>
      <c r="N486" s="3" t="s">
        <v>109</v>
      </c>
      <c r="O486" s="3"/>
      <c r="P486" s="3"/>
      <c r="Q486" s="3">
        <v>0.78700000000000003</v>
      </c>
      <c r="R486" s="3" t="s">
        <v>15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89</v>
      </c>
      <c r="C487" s="3" t="s">
        <v>193</v>
      </c>
      <c r="D487" s="3"/>
      <c r="E487" s="3" t="s">
        <v>193</v>
      </c>
      <c r="F487" s="3"/>
      <c r="G487" s="3"/>
      <c r="H487" s="3"/>
      <c r="I487" s="3"/>
      <c r="J487" s="3"/>
      <c r="K487" s="3"/>
      <c r="L487" s="3" t="s">
        <v>90</v>
      </c>
      <c r="M487" s="3">
        <v>30</v>
      </c>
      <c r="N487" s="3" t="s">
        <v>110</v>
      </c>
      <c r="O487" s="3"/>
      <c r="P487" s="3"/>
      <c r="Q487" s="3">
        <v>0.78700000000000003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89</v>
      </c>
      <c r="C488" s="3" t="s">
        <v>193</v>
      </c>
      <c r="D488" s="3"/>
      <c r="E488" s="3" t="s">
        <v>193</v>
      </c>
      <c r="F488" s="3"/>
      <c r="G488" s="3"/>
      <c r="H488" s="3"/>
      <c r="I488" s="3"/>
      <c r="J488" s="3"/>
      <c r="K488" s="3"/>
      <c r="L488" s="3" t="s">
        <v>90</v>
      </c>
      <c r="M488" s="3">
        <v>40</v>
      </c>
      <c r="N488" s="3" t="s">
        <v>105</v>
      </c>
      <c r="O488" s="3"/>
      <c r="P488" s="3"/>
      <c r="Q488" s="3">
        <v>0.20799999999999999</v>
      </c>
      <c r="R488" s="3" t="s">
        <v>106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89</v>
      </c>
      <c r="C489" s="3" t="s">
        <v>193</v>
      </c>
      <c r="D489" s="3"/>
      <c r="E489" s="3" t="s">
        <v>193</v>
      </c>
      <c r="F489" s="3"/>
      <c r="G489" s="3"/>
      <c r="H489" s="3"/>
      <c r="I489" s="3"/>
      <c r="J489" s="3"/>
      <c r="K489" s="3"/>
      <c r="L489" s="3" t="s">
        <v>90</v>
      </c>
      <c r="M489" s="3">
        <v>50</v>
      </c>
      <c r="N489" s="3" t="s">
        <v>107</v>
      </c>
      <c r="O489" s="3"/>
      <c r="P489" s="3"/>
      <c r="Q489" s="3">
        <v>10.77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89</v>
      </c>
      <c r="C490" s="3" t="s">
        <v>193</v>
      </c>
      <c r="D490" s="3"/>
      <c r="E490" s="3" t="s">
        <v>193</v>
      </c>
      <c r="F490" s="3"/>
      <c r="G490" s="3"/>
      <c r="H490" s="3"/>
      <c r="I490" s="3"/>
      <c r="J490" s="3"/>
      <c r="K490" s="3"/>
      <c r="L490" s="3" t="s">
        <v>90</v>
      </c>
      <c r="M490" s="3">
        <v>60</v>
      </c>
      <c r="N490" s="3" t="s">
        <v>18</v>
      </c>
      <c r="O490" s="3"/>
      <c r="P490" s="3"/>
      <c r="Q490" s="3">
        <v>66.233000000000004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89</v>
      </c>
      <c r="C491" s="3" t="s">
        <v>193</v>
      </c>
      <c r="D491" s="3"/>
      <c r="E491" s="3" t="s">
        <v>193</v>
      </c>
      <c r="F491" s="3"/>
      <c r="G491" s="3"/>
      <c r="H491" s="3"/>
      <c r="I491" s="3"/>
      <c r="J491" s="3"/>
      <c r="K491" s="3"/>
      <c r="L491" s="3" t="s">
        <v>90</v>
      </c>
      <c r="M491" s="3">
        <v>70</v>
      </c>
      <c r="N491" s="3" t="s">
        <v>113</v>
      </c>
      <c r="O491" s="3"/>
      <c r="P491" s="3"/>
      <c r="Q491" s="3">
        <v>4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89</v>
      </c>
      <c r="C492" s="3" t="s">
        <v>193</v>
      </c>
      <c r="D492" s="3"/>
      <c r="E492" s="3" t="s">
        <v>193</v>
      </c>
      <c r="F492" s="3"/>
      <c r="G492" s="3"/>
      <c r="H492" s="3"/>
      <c r="I492" s="3"/>
      <c r="J492" s="3"/>
      <c r="K492" s="3"/>
      <c r="L492" s="3" t="s">
        <v>90</v>
      </c>
      <c r="M492" s="3">
        <v>80</v>
      </c>
      <c r="N492" s="3" t="s">
        <v>21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89</v>
      </c>
      <c r="C493" s="3" t="s">
        <v>193</v>
      </c>
      <c r="D493" s="3"/>
      <c r="E493" s="3" t="s">
        <v>193</v>
      </c>
      <c r="F493" s="3"/>
      <c r="G493" s="3"/>
      <c r="H493" s="3"/>
      <c r="I493" s="3"/>
      <c r="J493" s="3"/>
      <c r="K493" s="3"/>
      <c r="L493" s="3" t="s">
        <v>90</v>
      </c>
      <c r="M493" s="3">
        <v>90</v>
      </c>
      <c r="N493" s="3" t="s">
        <v>22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89</v>
      </c>
      <c r="C494" s="3" t="s">
        <v>193</v>
      </c>
      <c r="D494" s="3"/>
      <c r="E494" s="3" t="s">
        <v>193</v>
      </c>
      <c r="F494" s="3"/>
      <c r="G494" s="3"/>
      <c r="H494" s="3"/>
      <c r="I494" s="3"/>
      <c r="J494" s="3"/>
      <c r="K494" s="3"/>
      <c r="L494" s="3" t="s">
        <v>90</v>
      </c>
      <c r="M494" s="3">
        <v>100</v>
      </c>
      <c r="N494" s="3" t="s">
        <v>23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89</v>
      </c>
      <c r="C495" s="3" t="s">
        <v>193</v>
      </c>
      <c r="D495" s="3"/>
      <c r="E495" s="3" t="s">
        <v>193</v>
      </c>
      <c r="F495" s="3"/>
      <c r="G495" s="3"/>
      <c r="H495" s="3"/>
      <c r="I495" s="3"/>
      <c r="J495" s="3"/>
      <c r="K495" s="3"/>
      <c r="L495" s="3" t="s">
        <v>90</v>
      </c>
      <c r="M495" s="3">
        <v>110</v>
      </c>
      <c r="N495" s="3" t="s">
        <v>111</v>
      </c>
      <c r="O495" s="3"/>
      <c r="P495" s="3"/>
      <c r="Q495" s="3">
        <v>0.54</v>
      </c>
      <c r="R495" s="3" t="s">
        <v>13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89</v>
      </c>
      <c r="C496" s="3" t="s">
        <v>193</v>
      </c>
      <c r="D496" s="3"/>
      <c r="E496" s="3" t="s">
        <v>193</v>
      </c>
      <c r="F496" s="3"/>
      <c r="G496" s="3"/>
      <c r="H496" s="3"/>
      <c r="I496" s="3"/>
      <c r="J496" s="3"/>
      <c r="K496" s="3"/>
      <c r="L496" s="3" t="s">
        <v>90</v>
      </c>
      <c r="M496" s="3">
        <v>120</v>
      </c>
      <c r="N496" s="3" t="s">
        <v>194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16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89</v>
      </c>
      <c r="C497" s="3" t="s">
        <v>195</v>
      </c>
      <c r="D497" s="3"/>
      <c r="E497" s="3" t="s">
        <v>195</v>
      </c>
      <c r="F497" s="3"/>
      <c r="G497" s="3"/>
      <c r="H497" s="3"/>
      <c r="I497" s="3"/>
      <c r="J497" s="3"/>
      <c r="K497" s="3"/>
      <c r="L497" s="3" t="s">
        <v>90</v>
      </c>
      <c r="M497" s="3">
        <v>10</v>
      </c>
      <c r="N497" s="3" t="s">
        <v>304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89</v>
      </c>
      <c r="C498" s="3" t="s">
        <v>195</v>
      </c>
      <c r="D498" s="3"/>
      <c r="E498" s="3" t="s">
        <v>195</v>
      </c>
      <c r="F498" s="3"/>
      <c r="G498" s="3"/>
      <c r="H498" s="3"/>
      <c r="I498" s="3"/>
      <c r="J498" s="3"/>
      <c r="K498" s="3"/>
      <c r="L498" s="3" t="s">
        <v>90</v>
      </c>
      <c r="M498" s="3">
        <v>20</v>
      </c>
      <c r="N498" s="3" t="s">
        <v>109</v>
      </c>
      <c r="O498" s="3"/>
      <c r="P498" s="3"/>
      <c r="Q498" s="3">
        <v>0.94</v>
      </c>
      <c r="R498" s="3" t="s">
        <v>15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89</v>
      </c>
      <c r="C499" s="3" t="s">
        <v>195</v>
      </c>
      <c r="D499" s="3"/>
      <c r="E499" s="3" t="s">
        <v>195</v>
      </c>
      <c r="F499" s="3"/>
      <c r="G499" s="3"/>
      <c r="H499" s="3"/>
      <c r="I499" s="3"/>
      <c r="J499" s="3"/>
      <c r="K499" s="3"/>
      <c r="L499" s="3" t="s">
        <v>90</v>
      </c>
      <c r="M499" s="3">
        <v>30</v>
      </c>
      <c r="N499" s="3" t="s">
        <v>110</v>
      </c>
      <c r="O499" s="3"/>
      <c r="P499" s="3"/>
      <c r="Q499" s="3">
        <v>0.94</v>
      </c>
      <c r="R499" s="3" t="s">
        <v>15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89</v>
      </c>
      <c r="C500" s="3" t="s">
        <v>195</v>
      </c>
      <c r="D500" s="3"/>
      <c r="E500" s="3" t="s">
        <v>195</v>
      </c>
      <c r="F500" s="3"/>
      <c r="G500" s="3"/>
      <c r="H500" s="3"/>
      <c r="I500" s="3"/>
      <c r="J500" s="3"/>
      <c r="K500" s="3"/>
      <c r="L500" s="3" t="s">
        <v>90</v>
      </c>
      <c r="M500" s="3">
        <v>40</v>
      </c>
      <c r="N500" s="3" t="s">
        <v>105</v>
      </c>
      <c r="O500" s="3"/>
      <c r="P500" s="3"/>
      <c r="Q500" s="3">
        <v>0.252</v>
      </c>
      <c r="R500" s="3" t="s">
        <v>106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89</v>
      </c>
      <c r="C501" s="3" t="s">
        <v>195</v>
      </c>
      <c r="D501" s="3"/>
      <c r="E501" s="3" t="s">
        <v>195</v>
      </c>
      <c r="F501" s="3"/>
      <c r="G501" s="3"/>
      <c r="H501" s="3"/>
      <c r="I501" s="3"/>
      <c r="J501" s="3"/>
      <c r="K501" s="3"/>
      <c r="L501" s="3" t="s">
        <v>90</v>
      </c>
      <c r="M501" s="3">
        <v>50</v>
      </c>
      <c r="N501" s="3" t="s">
        <v>107</v>
      </c>
      <c r="O501" s="3"/>
      <c r="P501" s="3"/>
      <c r="Q501" s="3">
        <v>11.379</v>
      </c>
      <c r="R501" s="3" t="s">
        <v>15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89</v>
      </c>
      <c r="C502" s="3" t="s">
        <v>195</v>
      </c>
      <c r="D502" s="3"/>
      <c r="E502" s="3" t="s">
        <v>195</v>
      </c>
      <c r="F502" s="3"/>
      <c r="G502" s="3"/>
      <c r="H502" s="3"/>
      <c r="I502" s="3"/>
      <c r="J502" s="3"/>
      <c r="K502" s="3"/>
      <c r="L502" s="3" t="s">
        <v>90</v>
      </c>
      <c r="M502" s="3">
        <v>60</v>
      </c>
      <c r="N502" s="3" t="s">
        <v>18</v>
      </c>
      <c r="O502" s="3"/>
      <c r="P502" s="3"/>
      <c r="Q502" s="3">
        <v>69.981999999999999</v>
      </c>
      <c r="R502" s="3" t="s">
        <v>15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89</v>
      </c>
      <c r="C503" s="3" t="s">
        <v>195</v>
      </c>
      <c r="D503" s="3"/>
      <c r="E503" s="3" t="s">
        <v>195</v>
      </c>
      <c r="F503" s="3"/>
      <c r="G503" s="3"/>
      <c r="H503" s="3"/>
      <c r="I503" s="3"/>
      <c r="J503" s="3"/>
      <c r="K503" s="3"/>
      <c r="L503" s="3" t="s">
        <v>90</v>
      </c>
      <c r="M503" s="3">
        <v>70</v>
      </c>
      <c r="N503" s="3" t="s">
        <v>113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89</v>
      </c>
      <c r="C504" s="3" t="s">
        <v>195</v>
      </c>
      <c r="D504" s="3"/>
      <c r="E504" s="3" t="s">
        <v>195</v>
      </c>
      <c r="F504" s="3"/>
      <c r="G504" s="3"/>
      <c r="H504" s="3"/>
      <c r="I504" s="3"/>
      <c r="J504" s="3"/>
      <c r="K504" s="3"/>
      <c r="L504" s="3" t="s">
        <v>90</v>
      </c>
      <c r="M504" s="3">
        <v>80</v>
      </c>
      <c r="N504" s="3" t="s">
        <v>21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89</v>
      </c>
      <c r="C505" s="3" t="s">
        <v>195</v>
      </c>
      <c r="D505" s="3"/>
      <c r="E505" s="3" t="s">
        <v>195</v>
      </c>
      <c r="F505" s="3"/>
      <c r="G505" s="3"/>
      <c r="H505" s="3"/>
      <c r="I505" s="3"/>
      <c r="J505" s="3"/>
      <c r="K505" s="3"/>
      <c r="L505" s="3" t="s">
        <v>90</v>
      </c>
      <c r="M505" s="3">
        <v>90</v>
      </c>
      <c r="N505" s="3" t="s">
        <v>22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89</v>
      </c>
      <c r="C506" s="3" t="s">
        <v>195</v>
      </c>
      <c r="D506" s="3"/>
      <c r="E506" s="3" t="s">
        <v>195</v>
      </c>
      <c r="F506" s="3"/>
      <c r="G506" s="3"/>
      <c r="H506" s="3"/>
      <c r="I506" s="3"/>
      <c r="J506" s="3"/>
      <c r="K506" s="3"/>
      <c r="L506" s="3" t="s">
        <v>90</v>
      </c>
      <c r="M506" s="3">
        <v>100</v>
      </c>
      <c r="N506" s="3" t="s">
        <v>23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89</v>
      </c>
      <c r="C507" s="3" t="s">
        <v>195</v>
      </c>
      <c r="D507" s="3"/>
      <c r="E507" s="3" t="s">
        <v>195</v>
      </c>
      <c r="F507" s="3"/>
      <c r="G507" s="3"/>
      <c r="H507" s="3"/>
      <c r="I507" s="3"/>
      <c r="J507" s="3"/>
      <c r="K507" s="3"/>
      <c r="L507" s="3" t="s">
        <v>90</v>
      </c>
      <c r="M507" s="3">
        <v>110</v>
      </c>
      <c r="N507" s="3" t="s">
        <v>111</v>
      </c>
      <c r="O507" s="3"/>
      <c r="P507" s="3"/>
      <c r="Q507" s="3">
        <v>0.622</v>
      </c>
      <c r="R507" s="3" t="s">
        <v>13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89</v>
      </c>
      <c r="C508" s="3" t="s">
        <v>195</v>
      </c>
      <c r="D508" s="3"/>
      <c r="E508" s="3" t="s">
        <v>195</v>
      </c>
      <c r="F508" s="3"/>
      <c r="G508" s="3"/>
      <c r="H508" s="3"/>
      <c r="I508" s="3"/>
      <c r="J508" s="3"/>
      <c r="K508" s="3"/>
      <c r="L508" s="3" t="s">
        <v>90</v>
      </c>
      <c r="M508" s="3">
        <v>120</v>
      </c>
      <c r="N508" s="3" t="s">
        <v>196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16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89</v>
      </c>
      <c r="C509" s="3" t="s">
        <v>197</v>
      </c>
      <c r="D509" s="3"/>
      <c r="E509" s="3" t="s">
        <v>197</v>
      </c>
      <c r="F509" s="3"/>
      <c r="G509" s="3"/>
      <c r="H509" s="3"/>
      <c r="I509" s="3"/>
      <c r="J509" s="3"/>
      <c r="K509" s="3"/>
      <c r="L509" s="3" t="s">
        <v>90</v>
      </c>
      <c r="M509" s="3">
        <v>10</v>
      </c>
      <c r="N509" s="3" t="s">
        <v>305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16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89</v>
      </c>
      <c r="C510" s="3" t="s">
        <v>197</v>
      </c>
      <c r="D510" s="3"/>
      <c r="E510" s="3" t="s">
        <v>197</v>
      </c>
      <c r="F510" s="3"/>
      <c r="G510" s="3"/>
      <c r="H510" s="3"/>
      <c r="I510" s="3"/>
      <c r="J510" s="3"/>
      <c r="K510" s="3"/>
      <c r="L510" s="3" t="s">
        <v>90</v>
      </c>
      <c r="M510" s="3">
        <v>20</v>
      </c>
      <c r="N510" s="3" t="s">
        <v>109</v>
      </c>
      <c r="O510" s="3"/>
      <c r="P510" s="3"/>
      <c r="Q510" s="3">
        <v>1.0920000000000001</v>
      </c>
      <c r="R510" s="3" t="s">
        <v>15</v>
      </c>
      <c r="S510" s="3"/>
      <c r="T510" s="3">
        <v>10</v>
      </c>
      <c r="U510" s="3"/>
      <c r="V510" s="3" t="s">
        <v>16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89</v>
      </c>
      <c r="C511" s="3" t="s">
        <v>197</v>
      </c>
      <c r="D511" s="3"/>
      <c r="E511" s="3" t="s">
        <v>197</v>
      </c>
      <c r="F511" s="3"/>
      <c r="G511" s="3"/>
      <c r="H511" s="3"/>
      <c r="I511" s="3"/>
      <c r="J511" s="3"/>
      <c r="K511" s="3"/>
      <c r="L511" s="3" t="s">
        <v>90</v>
      </c>
      <c r="M511" s="3">
        <v>30</v>
      </c>
      <c r="N511" s="3" t="s">
        <v>110</v>
      </c>
      <c r="O511" s="3"/>
      <c r="P511" s="3"/>
      <c r="Q511" s="3">
        <v>1.0920000000000001</v>
      </c>
      <c r="R511" s="3" t="s">
        <v>15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89</v>
      </c>
      <c r="C512" s="3" t="s">
        <v>197</v>
      </c>
      <c r="D512" s="3"/>
      <c r="E512" s="3" t="s">
        <v>197</v>
      </c>
      <c r="F512" s="3"/>
      <c r="G512" s="3"/>
      <c r="H512" s="3"/>
      <c r="I512" s="3"/>
      <c r="J512" s="3"/>
      <c r="K512" s="3"/>
      <c r="L512" s="3" t="s">
        <v>90</v>
      </c>
      <c r="M512" s="3">
        <v>40</v>
      </c>
      <c r="N512" s="3" t="s">
        <v>105</v>
      </c>
      <c r="O512" s="3"/>
      <c r="P512" s="3"/>
      <c r="Q512" s="3">
        <v>0.29499999999999998</v>
      </c>
      <c r="R512" s="3" t="s">
        <v>106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89</v>
      </c>
      <c r="C513" s="3" t="s">
        <v>197</v>
      </c>
      <c r="D513" s="3"/>
      <c r="E513" s="3" t="s">
        <v>197</v>
      </c>
      <c r="F513" s="3"/>
      <c r="G513" s="3"/>
      <c r="H513" s="3"/>
      <c r="I513" s="3"/>
      <c r="J513" s="3"/>
      <c r="K513" s="3"/>
      <c r="L513" s="3" t="s">
        <v>90</v>
      </c>
      <c r="M513" s="3">
        <v>50</v>
      </c>
      <c r="N513" s="3" t="s">
        <v>107</v>
      </c>
      <c r="O513" s="3"/>
      <c r="P513" s="3"/>
      <c r="Q513" s="3">
        <v>11.989000000000001</v>
      </c>
      <c r="R513" s="3" t="s">
        <v>15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89</v>
      </c>
      <c r="C514" s="3" t="s">
        <v>197</v>
      </c>
      <c r="D514" s="3"/>
      <c r="E514" s="3" t="s">
        <v>197</v>
      </c>
      <c r="F514" s="3"/>
      <c r="G514" s="3"/>
      <c r="H514" s="3"/>
      <c r="I514" s="3"/>
      <c r="J514" s="3"/>
      <c r="K514" s="3"/>
      <c r="L514" s="3" t="s">
        <v>90</v>
      </c>
      <c r="M514" s="3">
        <v>60</v>
      </c>
      <c r="N514" s="3" t="s">
        <v>18</v>
      </c>
      <c r="O514" s="3"/>
      <c r="P514" s="3"/>
      <c r="Q514" s="3">
        <v>73.730999999999995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89</v>
      </c>
      <c r="C515" s="3" t="s">
        <v>197</v>
      </c>
      <c r="D515" s="3"/>
      <c r="E515" s="3" t="s">
        <v>197</v>
      </c>
      <c r="F515" s="3"/>
      <c r="G515" s="3"/>
      <c r="H515" s="3"/>
      <c r="I515" s="3"/>
      <c r="J515" s="3"/>
      <c r="K515" s="3"/>
      <c r="L515" s="3" t="s">
        <v>90</v>
      </c>
      <c r="M515" s="3">
        <v>70</v>
      </c>
      <c r="N515" s="3" t="s">
        <v>113</v>
      </c>
      <c r="O515" s="3"/>
      <c r="P515" s="3"/>
      <c r="Q515" s="3">
        <v>4</v>
      </c>
      <c r="R515" s="3" t="s">
        <v>11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89</v>
      </c>
      <c r="C516" s="3" t="s">
        <v>197</v>
      </c>
      <c r="D516" s="3"/>
      <c r="E516" s="3" t="s">
        <v>197</v>
      </c>
      <c r="F516" s="3"/>
      <c r="G516" s="3"/>
      <c r="H516" s="3"/>
      <c r="I516" s="3"/>
      <c r="J516" s="3"/>
      <c r="K516" s="3"/>
      <c r="L516" s="3" t="s">
        <v>90</v>
      </c>
      <c r="M516" s="3">
        <v>80</v>
      </c>
      <c r="N516" s="3" t="s">
        <v>21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89</v>
      </c>
      <c r="C517" s="3" t="s">
        <v>197</v>
      </c>
      <c r="D517" s="3"/>
      <c r="E517" s="3" t="s">
        <v>197</v>
      </c>
      <c r="F517" s="3"/>
      <c r="G517" s="3"/>
      <c r="H517" s="3"/>
      <c r="I517" s="3"/>
      <c r="J517" s="3"/>
      <c r="K517" s="3"/>
      <c r="L517" s="3" t="s">
        <v>90</v>
      </c>
      <c r="M517" s="3">
        <v>90</v>
      </c>
      <c r="N517" s="3" t="s">
        <v>22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89</v>
      </c>
      <c r="C518" s="3" t="s">
        <v>197</v>
      </c>
      <c r="D518" s="3"/>
      <c r="E518" s="3" t="s">
        <v>197</v>
      </c>
      <c r="F518" s="3"/>
      <c r="G518" s="3"/>
      <c r="H518" s="3"/>
      <c r="I518" s="3"/>
      <c r="J518" s="3"/>
      <c r="K518" s="3"/>
      <c r="L518" s="3" t="s">
        <v>90</v>
      </c>
      <c r="M518" s="3">
        <v>100</v>
      </c>
      <c r="N518" s="3" t="s">
        <v>23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89</v>
      </c>
      <c r="C519" s="3" t="s">
        <v>197</v>
      </c>
      <c r="D519" s="3"/>
      <c r="E519" s="3" t="s">
        <v>197</v>
      </c>
      <c r="F519" s="3"/>
      <c r="G519" s="3"/>
      <c r="H519" s="3"/>
      <c r="I519" s="3"/>
      <c r="J519" s="3"/>
      <c r="K519" s="3"/>
      <c r="L519" s="3" t="s">
        <v>90</v>
      </c>
      <c r="M519" s="3">
        <v>110</v>
      </c>
      <c r="N519" s="3" t="s">
        <v>111</v>
      </c>
      <c r="O519" s="3"/>
      <c r="P519" s="3"/>
      <c r="Q519" s="3">
        <v>0.70299999999999996</v>
      </c>
      <c r="R519" s="3" t="s">
        <v>13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89</v>
      </c>
      <c r="C520" s="3" t="s">
        <v>197</v>
      </c>
      <c r="D520" s="3"/>
      <c r="E520" s="3" t="s">
        <v>197</v>
      </c>
      <c r="F520" s="3"/>
      <c r="G520" s="3"/>
      <c r="H520" s="3"/>
      <c r="I520" s="3"/>
      <c r="J520" s="3"/>
      <c r="K520" s="3"/>
      <c r="L520" s="3" t="s">
        <v>90</v>
      </c>
      <c r="M520" s="3">
        <v>120</v>
      </c>
      <c r="N520" s="3" t="s">
        <v>198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16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89</v>
      </c>
      <c r="C521" s="3" t="s">
        <v>199</v>
      </c>
      <c r="D521" s="3"/>
      <c r="E521" s="3" t="s">
        <v>199</v>
      </c>
      <c r="F521" s="3"/>
      <c r="G521" s="3"/>
      <c r="H521" s="3"/>
      <c r="I521" s="3"/>
      <c r="J521" s="3"/>
      <c r="K521" s="3"/>
      <c r="L521" s="3" t="s">
        <v>90</v>
      </c>
      <c r="M521" s="3">
        <v>10</v>
      </c>
      <c r="N521" s="3" t="s">
        <v>306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16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89</v>
      </c>
      <c r="C522" s="3" t="s">
        <v>199</v>
      </c>
      <c r="D522" s="3"/>
      <c r="E522" s="3" t="s">
        <v>199</v>
      </c>
      <c r="F522" s="3"/>
      <c r="G522" s="3"/>
      <c r="H522" s="3"/>
      <c r="I522" s="3"/>
      <c r="J522" s="3"/>
      <c r="K522" s="3"/>
      <c r="L522" s="3" t="s">
        <v>90</v>
      </c>
      <c r="M522" s="3">
        <v>20</v>
      </c>
      <c r="N522" s="3" t="s">
        <v>109</v>
      </c>
      <c r="O522" s="3"/>
      <c r="P522" s="3"/>
      <c r="Q522" s="3">
        <v>1.2450000000000001</v>
      </c>
      <c r="R522" s="3" t="s">
        <v>15</v>
      </c>
      <c r="S522" s="3"/>
      <c r="T522" s="3">
        <v>10</v>
      </c>
      <c r="U522" s="3"/>
      <c r="V522" s="3" t="s">
        <v>16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89</v>
      </c>
      <c r="C523" s="3" t="s">
        <v>199</v>
      </c>
      <c r="D523" s="3"/>
      <c r="E523" s="3" t="s">
        <v>199</v>
      </c>
      <c r="F523" s="3"/>
      <c r="G523" s="3"/>
      <c r="H523" s="3"/>
      <c r="I523" s="3"/>
      <c r="J523" s="3"/>
      <c r="K523" s="3"/>
      <c r="L523" s="3" t="s">
        <v>90</v>
      </c>
      <c r="M523" s="3">
        <v>30</v>
      </c>
      <c r="N523" s="3" t="s">
        <v>110</v>
      </c>
      <c r="O523" s="3"/>
      <c r="P523" s="3"/>
      <c r="Q523" s="3">
        <v>1.2450000000000001</v>
      </c>
      <c r="R523" s="3" t="s">
        <v>15</v>
      </c>
      <c r="S523" s="3"/>
      <c r="T523" s="3">
        <v>10</v>
      </c>
      <c r="U523" s="3"/>
      <c r="V523" s="3" t="s">
        <v>16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89</v>
      </c>
      <c r="C524" s="3" t="s">
        <v>199</v>
      </c>
      <c r="D524" s="3"/>
      <c r="E524" s="3" t="s">
        <v>199</v>
      </c>
      <c r="F524" s="3"/>
      <c r="G524" s="3"/>
      <c r="H524" s="3"/>
      <c r="I524" s="3"/>
      <c r="J524" s="3"/>
      <c r="K524" s="3"/>
      <c r="L524" s="3" t="s">
        <v>90</v>
      </c>
      <c r="M524" s="3">
        <v>40</v>
      </c>
      <c r="N524" s="3" t="s">
        <v>105</v>
      </c>
      <c r="O524" s="3"/>
      <c r="P524" s="3"/>
      <c r="Q524" s="3">
        <v>0.33800000000000002</v>
      </c>
      <c r="R524" s="3" t="s">
        <v>106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89</v>
      </c>
      <c r="C525" s="3" t="s">
        <v>199</v>
      </c>
      <c r="D525" s="3"/>
      <c r="E525" s="3" t="s">
        <v>199</v>
      </c>
      <c r="F525" s="3"/>
      <c r="G525" s="3"/>
      <c r="H525" s="3"/>
      <c r="I525" s="3"/>
      <c r="J525" s="3"/>
      <c r="K525" s="3"/>
      <c r="L525" s="3" t="s">
        <v>90</v>
      </c>
      <c r="M525" s="3">
        <v>50</v>
      </c>
      <c r="N525" s="3" t="s">
        <v>107</v>
      </c>
      <c r="O525" s="3"/>
      <c r="P525" s="3"/>
      <c r="Q525" s="3">
        <v>12.598000000000001</v>
      </c>
      <c r="R525" s="3" t="s">
        <v>15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89</v>
      </c>
      <c r="C526" s="3" t="s">
        <v>199</v>
      </c>
      <c r="D526" s="3"/>
      <c r="E526" s="3" t="s">
        <v>199</v>
      </c>
      <c r="F526" s="3"/>
      <c r="G526" s="3"/>
      <c r="H526" s="3"/>
      <c r="I526" s="3"/>
      <c r="J526" s="3"/>
      <c r="K526" s="3"/>
      <c r="L526" s="3" t="s">
        <v>90</v>
      </c>
      <c r="M526" s="3">
        <v>60</v>
      </c>
      <c r="N526" s="3" t="s">
        <v>18</v>
      </c>
      <c r="O526" s="3"/>
      <c r="P526" s="3"/>
      <c r="Q526" s="3">
        <v>77.48</v>
      </c>
      <c r="R526" s="3" t="s">
        <v>15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89</v>
      </c>
      <c r="C527" s="3" t="s">
        <v>199</v>
      </c>
      <c r="D527" s="3"/>
      <c r="E527" s="3" t="s">
        <v>199</v>
      </c>
      <c r="F527" s="3"/>
      <c r="G527" s="3"/>
      <c r="H527" s="3"/>
      <c r="I527" s="3"/>
      <c r="J527" s="3"/>
      <c r="K527" s="3"/>
      <c r="L527" s="3" t="s">
        <v>90</v>
      </c>
      <c r="M527" s="3">
        <v>70</v>
      </c>
      <c r="N527" s="3" t="s">
        <v>113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89</v>
      </c>
      <c r="C528" s="3" t="s">
        <v>199</v>
      </c>
      <c r="D528" s="3"/>
      <c r="E528" s="3" t="s">
        <v>199</v>
      </c>
      <c r="F528" s="3"/>
      <c r="G528" s="3"/>
      <c r="H528" s="3"/>
      <c r="I528" s="3"/>
      <c r="J528" s="3"/>
      <c r="K528" s="3"/>
      <c r="L528" s="3" t="s">
        <v>90</v>
      </c>
      <c r="M528" s="3">
        <v>80</v>
      </c>
      <c r="N528" s="3" t="s">
        <v>21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89</v>
      </c>
      <c r="C529" s="3" t="s">
        <v>199</v>
      </c>
      <c r="D529" s="3"/>
      <c r="E529" s="3" t="s">
        <v>199</v>
      </c>
      <c r="F529" s="3"/>
      <c r="G529" s="3"/>
      <c r="H529" s="3"/>
      <c r="I529" s="3"/>
      <c r="J529" s="3"/>
      <c r="K529" s="3"/>
      <c r="L529" s="3" t="s">
        <v>90</v>
      </c>
      <c r="M529" s="3">
        <v>90</v>
      </c>
      <c r="N529" s="3" t="s">
        <v>22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89</v>
      </c>
      <c r="C530" s="3" t="s">
        <v>199</v>
      </c>
      <c r="D530" s="3"/>
      <c r="E530" s="3" t="s">
        <v>199</v>
      </c>
      <c r="F530" s="3"/>
      <c r="G530" s="3"/>
      <c r="H530" s="3"/>
      <c r="I530" s="3"/>
      <c r="J530" s="3"/>
      <c r="K530" s="3"/>
      <c r="L530" s="3" t="s">
        <v>90</v>
      </c>
      <c r="M530" s="3">
        <v>100</v>
      </c>
      <c r="N530" s="3" t="s">
        <v>23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89</v>
      </c>
      <c r="C531" s="3" t="s">
        <v>199</v>
      </c>
      <c r="D531" s="3"/>
      <c r="E531" s="3" t="s">
        <v>199</v>
      </c>
      <c r="F531" s="3"/>
      <c r="G531" s="3"/>
      <c r="H531" s="3"/>
      <c r="I531" s="3"/>
      <c r="J531" s="3"/>
      <c r="K531" s="3"/>
      <c r="L531" s="3" t="s">
        <v>90</v>
      </c>
      <c r="M531" s="3">
        <v>110</v>
      </c>
      <c r="N531" s="3" t="s">
        <v>111</v>
      </c>
      <c r="O531" s="3"/>
      <c r="P531" s="3"/>
      <c r="Q531" s="3">
        <v>0.78400000000000003</v>
      </c>
      <c r="R531" s="3" t="s">
        <v>13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89</v>
      </c>
      <c r="C532" s="3" t="s">
        <v>199</v>
      </c>
      <c r="D532" s="3"/>
      <c r="E532" s="3" t="s">
        <v>199</v>
      </c>
      <c r="F532" s="3"/>
      <c r="G532" s="3"/>
      <c r="H532" s="3"/>
      <c r="I532" s="3"/>
      <c r="J532" s="3"/>
      <c r="K532" s="3"/>
      <c r="L532" s="3" t="s">
        <v>90</v>
      </c>
      <c r="M532" s="3">
        <v>120</v>
      </c>
      <c r="N532" s="3" t="s">
        <v>200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89</v>
      </c>
      <c r="C533" s="3" t="s">
        <v>201</v>
      </c>
      <c r="D533" s="3"/>
      <c r="E533" s="3" t="s">
        <v>201</v>
      </c>
      <c r="F533" s="3"/>
      <c r="G533" s="3"/>
      <c r="H533" s="3"/>
      <c r="I533" s="3"/>
      <c r="J533" s="3"/>
      <c r="K533" s="3"/>
      <c r="L533" s="3" t="s">
        <v>90</v>
      </c>
      <c r="M533" s="3">
        <v>10</v>
      </c>
      <c r="N533" s="3" t="s">
        <v>307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16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89</v>
      </c>
      <c r="C534" s="3" t="s">
        <v>201</v>
      </c>
      <c r="D534" s="3"/>
      <c r="E534" s="3" t="s">
        <v>201</v>
      </c>
      <c r="F534" s="3"/>
      <c r="G534" s="3"/>
      <c r="H534" s="3"/>
      <c r="I534" s="3"/>
      <c r="J534" s="3"/>
      <c r="K534" s="3"/>
      <c r="L534" s="3" t="s">
        <v>90</v>
      </c>
      <c r="M534" s="3">
        <v>20</v>
      </c>
      <c r="N534" s="3" t="s">
        <v>109</v>
      </c>
      <c r="O534" s="3"/>
      <c r="P534" s="3"/>
      <c r="Q534" s="3">
        <v>1.5489999999999999</v>
      </c>
      <c r="R534" s="3" t="s">
        <v>15</v>
      </c>
      <c r="S534" s="3"/>
      <c r="T534" s="3">
        <v>10</v>
      </c>
      <c r="U534" s="3"/>
      <c r="V534" s="3" t="s">
        <v>16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89</v>
      </c>
      <c r="C535" s="3" t="s">
        <v>201</v>
      </c>
      <c r="D535" s="3"/>
      <c r="E535" s="3" t="s">
        <v>201</v>
      </c>
      <c r="F535" s="3"/>
      <c r="G535" s="3"/>
      <c r="H535" s="3"/>
      <c r="I535" s="3"/>
      <c r="J535" s="3"/>
      <c r="K535" s="3"/>
      <c r="L535" s="3" t="s">
        <v>90</v>
      </c>
      <c r="M535" s="3">
        <v>30</v>
      </c>
      <c r="N535" s="3" t="s">
        <v>110</v>
      </c>
      <c r="O535" s="3"/>
      <c r="P535" s="3"/>
      <c r="Q535" s="3">
        <v>1.5489999999999999</v>
      </c>
      <c r="R535" s="3" t="s">
        <v>15</v>
      </c>
      <c r="S535" s="3"/>
      <c r="T535" s="3">
        <v>10</v>
      </c>
      <c r="U535" s="3"/>
      <c r="V535" s="3" t="s">
        <v>16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89</v>
      </c>
      <c r="C536" s="3" t="s">
        <v>201</v>
      </c>
      <c r="D536" s="3"/>
      <c r="E536" s="3" t="s">
        <v>201</v>
      </c>
      <c r="F536" s="3"/>
      <c r="G536" s="3"/>
      <c r="H536" s="3"/>
      <c r="I536" s="3"/>
      <c r="J536" s="3"/>
      <c r="K536" s="3"/>
      <c r="L536" s="3" t="s">
        <v>90</v>
      </c>
      <c r="M536" s="3">
        <v>40</v>
      </c>
      <c r="N536" s="3" t="s">
        <v>105</v>
      </c>
      <c r="O536" s="3"/>
      <c r="P536" s="3"/>
      <c r="Q536" s="3">
        <v>0.42399999999999999</v>
      </c>
      <c r="R536" s="3" t="s">
        <v>106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89</v>
      </c>
      <c r="C537" s="3" t="s">
        <v>201</v>
      </c>
      <c r="D537" s="3"/>
      <c r="E537" s="3" t="s">
        <v>201</v>
      </c>
      <c r="F537" s="3"/>
      <c r="G537" s="3"/>
      <c r="H537" s="3"/>
      <c r="I537" s="3"/>
      <c r="J537" s="3"/>
      <c r="K537" s="3"/>
      <c r="L537" s="3" t="s">
        <v>90</v>
      </c>
      <c r="M537" s="3">
        <v>50</v>
      </c>
      <c r="N537" s="3" t="s">
        <v>107</v>
      </c>
      <c r="O537" s="3"/>
      <c r="P537" s="3"/>
      <c r="Q537" s="3">
        <v>13.818</v>
      </c>
      <c r="R537" s="3" t="s">
        <v>15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89</v>
      </c>
      <c r="C538" s="3" t="s">
        <v>201</v>
      </c>
      <c r="D538" s="3"/>
      <c r="E538" s="3" t="s">
        <v>201</v>
      </c>
      <c r="F538" s="3"/>
      <c r="G538" s="3"/>
      <c r="H538" s="3"/>
      <c r="I538" s="3"/>
      <c r="J538" s="3"/>
      <c r="K538" s="3"/>
      <c r="L538" s="3" t="s">
        <v>90</v>
      </c>
      <c r="M538" s="3">
        <v>60</v>
      </c>
      <c r="N538" s="3" t="s">
        <v>18</v>
      </c>
      <c r="O538" s="3"/>
      <c r="P538" s="3"/>
      <c r="Q538" s="3">
        <v>84.977999999999994</v>
      </c>
      <c r="R538" s="3" t="s">
        <v>15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89</v>
      </c>
      <c r="C539" s="3" t="s">
        <v>201</v>
      </c>
      <c r="D539" s="3"/>
      <c r="E539" s="3" t="s">
        <v>201</v>
      </c>
      <c r="F539" s="3"/>
      <c r="G539" s="3"/>
      <c r="H539" s="3"/>
      <c r="I539" s="3"/>
      <c r="J539" s="3"/>
      <c r="K539" s="3"/>
      <c r="L539" s="3" t="s">
        <v>90</v>
      </c>
      <c r="M539" s="3">
        <v>70</v>
      </c>
      <c r="N539" s="3" t="s">
        <v>113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89</v>
      </c>
      <c r="C540" s="3" t="s">
        <v>201</v>
      </c>
      <c r="D540" s="3"/>
      <c r="E540" s="3" t="s">
        <v>201</v>
      </c>
      <c r="F540" s="3"/>
      <c r="G540" s="3"/>
      <c r="H540" s="3"/>
      <c r="I540" s="3"/>
      <c r="J540" s="3"/>
      <c r="K540" s="3"/>
      <c r="L540" s="3" t="s">
        <v>90</v>
      </c>
      <c r="M540" s="3">
        <v>80</v>
      </c>
      <c r="N540" s="3" t="s">
        <v>21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89</v>
      </c>
      <c r="C541" s="3" t="s">
        <v>201</v>
      </c>
      <c r="D541" s="3"/>
      <c r="E541" s="3" t="s">
        <v>201</v>
      </c>
      <c r="F541" s="3"/>
      <c r="G541" s="3"/>
      <c r="H541" s="3"/>
      <c r="I541" s="3"/>
      <c r="J541" s="3"/>
      <c r="K541" s="3"/>
      <c r="L541" s="3" t="s">
        <v>90</v>
      </c>
      <c r="M541" s="3">
        <v>90</v>
      </c>
      <c r="N541" s="3" t="s">
        <v>22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89</v>
      </c>
      <c r="C542" s="3" t="s">
        <v>201</v>
      </c>
      <c r="D542" s="3"/>
      <c r="E542" s="3" t="s">
        <v>201</v>
      </c>
      <c r="F542" s="3"/>
      <c r="G542" s="3"/>
      <c r="H542" s="3"/>
      <c r="I542" s="3"/>
      <c r="J542" s="3"/>
      <c r="K542" s="3"/>
      <c r="L542" s="3" t="s">
        <v>90</v>
      </c>
      <c r="M542" s="3">
        <v>100</v>
      </c>
      <c r="N542" s="3" t="s">
        <v>23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89</v>
      </c>
      <c r="C543" s="3" t="s">
        <v>201</v>
      </c>
      <c r="D543" s="3"/>
      <c r="E543" s="3" t="s">
        <v>201</v>
      </c>
      <c r="F543" s="3"/>
      <c r="G543" s="3"/>
      <c r="H543" s="3"/>
      <c r="I543" s="3"/>
      <c r="J543" s="3"/>
      <c r="K543" s="3"/>
      <c r="L543" s="3" t="s">
        <v>90</v>
      </c>
      <c r="M543" s="3">
        <v>110</v>
      </c>
      <c r="N543" s="3" t="s">
        <v>111</v>
      </c>
      <c r="O543" s="3"/>
      <c r="P543" s="3"/>
      <c r="Q543" s="3">
        <v>0.94599999999999995</v>
      </c>
      <c r="R543" s="3" t="s">
        <v>13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89</v>
      </c>
      <c r="C544" s="3" t="s">
        <v>201</v>
      </c>
      <c r="D544" s="3"/>
      <c r="E544" s="3" t="s">
        <v>201</v>
      </c>
      <c r="F544" s="3"/>
      <c r="G544" s="3"/>
      <c r="H544" s="3"/>
      <c r="I544" s="3"/>
      <c r="J544" s="3"/>
      <c r="K544" s="3"/>
      <c r="L544" s="3" t="s">
        <v>90</v>
      </c>
      <c r="M544" s="3">
        <v>120</v>
      </c>
      <c r="N544" s="3" t="s">
        <v>202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16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89</v>
      </c>
      <c r="C545" s="3" t="s">
        <v>203</v>
      </c>
      <c r="D545" s="3"/>
      <c r="E545" s="3" t="s">
        <v>203</v>
      </c>
      <c r="F545" s="3"/>
      <c r="G545" s="3"/>
      <c r="H545" s="3"/>
      <c r="I545" s="3"/>
      <c r="J545" s="3"/>
      <c r="K545" s="3"/>
      <c r="L545" s="3" t="s">
        <v>90</v>
      </c>
      <c r="M545" s="3">
        <v>10</v>
      </c>
      <c r="N545" s="3" t="s">
        <v>308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16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89</v>
      </c>
      <c r="C546" s="3" t="s">
        <v>203</v>
      </c>
      <c r="D546" s="3"/>
      <c r="E546" s="3" t="s">
        <v>203</v>
      </c>
      <c r="F546" s="3"/>
      <c r="G546" s="3"/>
      <c r="H546" s="3"/>
      <c r="I546" s="3"/>
      <c r="J546" s="3"/>
      <c r="K546" s="3"/>
      <c r="L546" s="3" t="s">
        <v>90</v>
      </c>
      <c r="M546" s="3">
        <v>20</v>
      </c>
      <c r="N546" s="3" t="s">
        <v>109</v>
      </c>
      <c r="O546" s="3"/>
      <c r="P546" s="3"/>
      <c r="Q546" s="3">
        <v>1.702</v>
      </c>
      <c r="R546" s="3" t="s">
        <v>15</v>
      </c>
      <c r="S546" s="3"/>
      <c r="T546" s="3">
        <v>10</v>
      </c>
      <c r="U546" s="3"/>
      <c r="V546" s="3" t="s">
        <v>16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89</v>
      </c>
      <c r="C547" s="3" t="s">
        <v>203</v>
      </c>
      <c r="D547" s="3"/>
      <c r="E547" s="3" t="s">
        <v>203</v>
      </c>
      <c r="F547" s="3"/>
      <c r="G547" s="3"/>
      <c r="H547" s="3"/>
      <c r="I547" s="3"/>
      <c r="J547" s="3"/>
      <c r="K547" s="3"/>
      <c r="L547" s="3" t="s">
        <v>90</v>
      </c>
      <c r="M547" s="3">
        <v>30</v>
      </c>
      <c r="N547" s="3" t="s">
        <v>110</v>
      </c>
      <c r="O547" s="3"/>
      <c r="P547" s="3"/>
      <c r="Q547" s="3">
        <v>1.702</v>
      </c>
      <c r="R547" s="3" t="s">
        <v>15</v>
      </c>
      <c r="S547" s="3"/>
      <c r="T547" s="3">
        <v>10</v>
      </c>
      <c r="U547" s="3"/>
      <c r="V547" s="3" t="s">
        <v>16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89</v>
      </c>
      <c r="C548" s="3" t="s">
        <v>203</v>
      </c>
      <c r="D548" s="3"/>
      <c r="E548" s="3" t="s">
        <v>203</v>
      </c>
      <c r="F548" s="3"/>
      <c r="G548" s="3"/>
      <c r="H548" s="3"/>
      <c r="I548" s="3"/>
      <c r="J548" s="3"/>
      <c r="K548" s="3"/>
      <c r="L548" s="3" t="s">
        <v>90</v>
      </c>
      <c r="M548" s="3">
        <v>40</v>
      </c>
      <c r="N548" s="3" t="s">
        <v>105</v>
      </c>
      <c r="O548" s="3"/>
      <c r="P548" s="3"/>
      <c r="Q548" s="3">
        <v>0.46700000000000003</v>
      </c>
      <c r="R548" s="3" t="s">
        <v>106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89</v>
      </c>
      <c r="C549" s="3" t="s">
        <v>203</v>
      </c>
      <c r="D549" s="3"/>
      <c r="E549" s="3" t="s">
        <v>203</v>
      </c>
      <c r="F549" s="3"/>
      <c r="G549" s="3"/>
      <c r="H549" s="3"/>
      <c r="I549" s="3"/>
      <c r="J549" s="3"/>
      <c r="K549" s="3"/>
      <c r="L549" s="3" t="s">
        <v>90</v>
      </c>
      <c r="M549" s="3">
        <v>50</v>
      </c>
      <c r="N549" s="3" t="s">
        <v>107</v>
      </c>
      <c r="O549" s="3"/>
      <c r="P549" s="3"/>
      <c r="Q549" s="3">
        <v>14.427</v>
      </c>
      <c r="R549" s="3" t="s">
        <v>15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89</v>
      </c>
      <c r="C550" s="3" t="s">
        <v>203</v>
      </c>
      <c r="D550" s="3"/>
      <c r="E550" s="3" t="s">
        <v>203</v>
      </c>
      <c r="F550" s="3"/>
      <c r="G550" s="3"/>
      <c r="H550" s="3"/>
      <c r="I550" s="3"/>
      <c r="J550" s="3"/>
      <c r="K550" s="3"/>
      <c r="L550" s="3" t="s">
        <v>90</v>
      </c>
      <c r="M550" s="3">
        <v>60</v>
      </c>
      <c r="N550" s="3" t="s">
        <v>18</v>
      </c>
      <c r="O550" s="3"/>
      <c r="P550" s="3"/>
      <c r="Q550" s="3">
        <v>88.727000000000004</v>
      </c>
      <c r="R550" s="3" t="s">
        <v>15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89</v>
      </c>
      <c r="C551" s="3" t="s">
        <v>203</v>
      </c>
      <c r="D551" s="3"/>
      <c r="E551" s="3" t="s">
        <v>203</v>
      </c>
      <c r="F551" s="3"/>
      <c r="G551" s="3"/>
      <c r="H551" s="3"/>
      <c r="I551" s="3"/>
      <c r="J551" s="3"/>
      <c r="K551" s="3"/>
      <c r="L551" s="3" t="s">
        <v>90</v>
      </c>
      <c r="M551" s="3">
        <v>70</v>
      </c>
      <c r="N551" s="3" t="s">
        <v>113</v>
      </c>
      <c r="O551" s="3"/>
      <c r="P551" s="3"/>
      <c r="Q551" s="3">
        <v>4</v>
      </c>
      <c r="R551" s="3" t="s">
        <v>11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89</v>
      </c>
      <c r="C552" s="3" t="s">
        <v>203</v>
      </c>
      <c r="D552" s="3"/>
      <c r="E552" s="3" t="s">
        <v>203</v>
      </c>
      <c r="F552" s="3"/>
      <c r="G552" s="3"/>
      <c r="H552" s="3"/>
      <c r="I552" s="3"/>
      <c r="J552" s="3"/>
      <c r="K552" s="3"/>
      <c r="L552" s="3" t="s">
        <v>90</v>
      </c>
      <c r="M552" s="3">
        <v>80</v>
      </c>
      <c r="N552" s="3" t="s">
        <v>21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89</v>
      </c>
      <c r="C553" s="3" t="s">
        <v>203</v>
      </c>
      <c r="D553" s="3"/>
      <c r="E553" s="3" t="s">
        <v>203</v>
      </c>
      <c r="F553" s="3"/>
      <c r="G553" s="3"/>
      <c r="H553" s="3"/>
      <c r="I553" s="3"/>
      <c r="J553" s="3"/>
      <c r="K553" s="3"/>
      <c r="L553" s="3" t="s">
        <v>90</v>
      </c>
      <c r="M553" s="3">
        <v>90</v>
      </c>
      <c r="N553" s="3" t="s">
        <v>22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89</v>
      </c>
      <c r="C554" s="3" t="s">
        <v>203</v>
      </c>
      <c r="D554" s="3"/>
      <c r="E554" s="3" t="s">
        <v>203</v>
      </c>
      <c r="F554" s="3"/>
      <c r="G554" s="3"/>
      <c r="H554" s="3"/>
      <c r="I554" s="3"/>
      <c r="J554" s="3"/>
      <c r="K554" s="3"/>
      <c r="L554" s="3" t="s">
        <v>90</v>
      </c>
      <c r="M554" s="3">
        <v>100</v>
      </c>
      <c r="N554" s="3" t="s">
        <v>23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89</v>
      </c>
      <c r="C555" s="3" t="s">
        <v>203</v>
      </c>
      <c r="D555" s="3"/>
      <c r="E555" s="3" t="s">
        <v>203</v>
      </c>
      <c r="F555" s="3"/>
      <c r="G555" s="3"/>
      <c r="H555" s="3"/>
      <c r="I555" s="3"/>
      <c r="J555" s="3"/>
      <c r="K555" s="3"/>
      <c r="L555" s="3" t="s">
        <v>90</v>
      </c>
      <c r="M555" s="3">
        <v>110</v>
      </c>
      <c r="N555" s="3" t="s">
        <v>111</v>
      </c>
      <c r="O555" s="3"/>
      <c r="P555" s="3"/>
      <c r="Q555" s="3">
        <v>1.0269999999999999</v>
      </c>
      <c r="R555" s="3" t="s">
        <v>13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89</v>
      </c>
      <c r="C556" s="3" t="s">
        <v>203</v>
      </c>
      <c r="D556" s="3"/>
      <c r="E556" s="3" t="s">
        <v>203</v>
      </c>
      <c r="F556" s="3"/>
      <c r="G556" s="3"/>
      <c r="H556" s="3"/>
      <c r="I556" s="3"/>
      <c r="J556" s="3"/>
      <c r="K556" s="3"/>
      <c r="L556" s="3" t="s">
        <v>90</v>
      </c>
      <c r="M556" s="3">
        <v>120</v>
      </c>
      <c r="N556" s="3" t="s">
        <v>204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16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89</v>
      </c>
      <c r="C557" s="3" t="s">
        <v>205</v>
      </c>
      <c r="D557" s="3"/>
      <c r="E557" s="3" t="s">
        <v>205</v>
      </c>
      <c r="F557" s="3"/>
      <c r="G557" s="3"/>
      <c r="H557" s="3"/>
      <c r="I557" s="3"/>
      <c r="J557" s="3"/>
      <c r="K557" s="3"/>
      <c r="L557" s="3" t="s">
        <v>90</v>
      </c>
      <c r="M557" s="3">
        <v>10</v>
      </c>
      <c r="N557" s="3" t="s">
        <v>309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16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89</v>
      </c>
      <c r="C558" s="3" t="s">
        <v>205</v>
      </c>
      <c r="D558" s="3"/>
      <c r="E558" s="3" t="s">
        <v>205</v>
      </c>
      <c r="F558" s="3"/>
      <c r="G558" s="3"/>
      <c r="H558" s="3"/>
      <c r="I558" s="3"/>
      <c r="J558" s="3"/>
      <c r="K558" s="3"/>
      <c r="L558" s="3" t="s">
        <v>90</v>
      </c>
      <c r="M558" s="3">
        <v>20</v>
      </c>
      <c r="N558" s="3" t="s">
        <v>109</v>
      </c>
      <c r="O558" s="3"/>
      <c r="P558" s="3"/>
      <c r="Q558" s="3">
        <v>1.8540000000000001</v>
      </c>
      <c r="R558" s="3" t="s">
        <v>15</v>
      </c>
      <c r="S558" s="3"/>
      <c r="T558" s="3">
        <v>10</v>
      </c>
      <c r="U558" s="3"/>
      <c r="V558" s="3" t="s">
        <v>16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89</v>
      </c>
      <c r="C559" s="3" t="s">
        <v>205</v>
      </c>
      <c r="D559" s="3"/>
      <c r="E559" s="3" t="s">
        <v>205</v>
      </c>
      <c r="F559" s="3"/>
      <c r="G559" s="3"/>
      <c r="H559" s="3"/>
      <c r="I559" s="3"/>
      <c r="J559" s="3"/>
      <c r="K559" s="3"/>
      <c r="L559" s="3" t="s">
        <v>90</v>
      </c>
      <c r="M559" s="3">
        <v>30</v>
      </c>
      <c r="N559" s="3" t="s">
        <v>110</v>
      </c>
      <c r="O559" s="3"/>
      <c r="P559" s="3"/>
      <c r="Q559" s="3">
        <v>1.8540000000000001</v>
      </c>
      <c r="R559" s="3" t="s">
        <v>15</v>
      </c>
      <c r="S559" s="3"/>
      <c r="T559" s="3">
        <v>10</v>
      </c>
      <c r="U559" s="3"/>
      <c r="V559" s="3" t="s">
        <v>16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89</v>
      </c>
      <c r="C560" s="3" t="s">
        <v>205</v>
      </c>
      <c r="D560" s="3"/>
      <c r="E560" s="3" t="s">
        <v>205</v>
      </c>
      <c r="F560" s="3"/>
      <c r="G560" s="3"/>
      <c r="H560" s="3"/>
      <c r="I560" s="3"/>
      <c r="J560" s="3"/>
      <c r="K560" s="3"/>
      <c r="L560" s="3" t="s">
        <v>90</v>
      </c>
      <c r="M560" s="3">
        <v>40</v>
      </c>
      <c r="N560" s="3" t="s">
        <v>105</v>
      </c>
      <c r="O560" s="3"/>
      <c r="P560" s="3"/>
      <c r="Q560" s="3">
        <v>0.51</v>
      </c>
      <c r="R560" s="3" t="s">
        <v>106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89</v>
      </c>
      <c r="C561" s="3" t="s">
        <v>205</v>
      </c>
      <c r="D561" s="3"/>
      <c r="E561" s="3" t="s">
        <v>205</v>
      </c>
      <c r="F561" s="3"/>
      <c r="G561" s="3"/>
      <c r="H561" s="3"/>
      <c r="I561" s="3"/>
      <c r="J561" s="3"/>
      <c r="K561" s="3"/>
      <c r="L561" s="3" t="s">
        <v>90</v>
      </c>
      <c r="M561" s="3">
        <v>50</v>
      </c>
      <c r="N561" s="3" t="s">
        <v>107</v>
      </c>
      <c r="O561" s="3"/>
      <c r="P561" s="3"/>
      <c r="Q561" s="3">
        <v>15.037000000000001</v>
      </c>
      <c r="R561" s="3" t="s">
        <v>15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89</v>
      </c>
      <c r="C562" s="3" t="s">
        <v>205</v>
      </c>
      <c r="D562" s="3"/>
      <c r="E562" s="3" t="s">
        <v>205</v>
      </c>
      <c r="F562" s="3"/>
      <c r="G562" s="3"/>
      <c r="H562" s="3"/>
      <c r="I562" s="3"/>
      <c r="J562" s="3"/>
      <c r="K562" s="3"/>
      <c r="L562" s="3" t="s">
        <v>90</v>
      </c>
      <c r="M562" s="3">
        <v>60</v>
      </c>
      <c r="N562" s="3" t="s">
        <v>18</v>
      </c>
      <c r="O562" s="3"/>
      <c r="P562" s="3"/>
      <c r="Q562" s="3">
        <v>92.475999999999999</v>
      </c>
      <c r="R562" s="3" t="s">
        <v>15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89</v>
      </c>
      <c r="C563" s="3" t="s">
        <v>205</v>
      </c>
      <c r="D563" s="3"/>
      <c r="E563" s="3" t="s">
        <v>205</v>
      </c>
      <c r="F563" s="3"/>
      <c r="G563" s="3"/>
      <c r="H563" s="3"/>
      <c r="I563" s="3"/>
      <c r="J563" s="3"/>
      <c r="K563" s="3"/>
      <c r="L563" s="3" t="s">
        <v>90</v>
      </c>
      <c r="M563" s="3">
        <v>70</v>
      </c>
      <c r="N563" s="3" t="s">
        <v>113</v>
      </c>
      <c r="O563" s="3"/>
      <c r="P563" s="3"/>
      <c r="Q563" s="3">
        <v>4</v>
      </c>
      <c r="R563" s="3" t="s">
        <v>11</v>
      </c>
      <c r="S563" s="3"/>
      <c r="T563" s="3">
        <v>10</v>
      </c>
      <c r="U563" s="3"/>
      <c r="V563" s="3" t="s">
        <v>14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89</v>
      </c>
      <c r="C564" s="3" t="s">
        <v>205</v>
      </c>
      <c r="D564" s="3"/>
      <c r="E564" s="3" t="s">
        <v>205</v>
      </c>
      <c r="F564" s="3"/>
      <c r="G564" s="3"/>
      <c r="H564" s="3"/>
      <c r="I564" s="3"/>
      <c r="J564" s="3"/>
      <c r="K564" s="3"/>
      <c r="L564" s="3" t="s">
        <v>90</v>
      </c>
      <c r="M564" s="3">
        <v>80</v>
      </c>
      <c r="N564" s="3" t="s">
        <v>21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89</v>
      </c>
      <c r="C565" s="3" t="s">
        <v>205</v>
      </c>
      <c r="D565" s="3"/>
      <c r="E565" s="3" t="s">
        <v>205</v>
      </c>
      <c r="F565" s="3"/>
      <c r="G565" s="3"/>
      <c r="H565" s="3"/>
      <c r="I565" s="3"/>
      <c r="J565" s="3"/>
      <c r="K565" s="3"/>
      <c r="L565" s="3" t="s">
        <v>90</v>
      </c>
      <c r="M565" s="3">
        <v>90</v>
      </c>
      <c r="N565" s="3" t="s">
        <v>22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89</v>
      </c>
      <c r="C566" s="3" t="s">
        <v>205</v>
      </c>
      <c r="D566" s="3"/>
      <c r="E566" s="3" t="s">
        <v>205</v>
      </c>
      <c r="F566" s="3"/>
      <c r="G566" s="3"/>
      <c r="H566" s="3"/>
      <c r="I566" s="3"/>
      <c r="J566" s="3"/>
      <c r="K566" s="3"/>
      <c r="L566" s="3" t="s">
        <v>90</v>
      </c>
      <c r="M566" s="3">
        <v>100</v>
      </c>
      <c r="N566" s="3" t="s">
        <v>23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89</v>
      </c>
      <c r="C567" s="3" t="s">
        <v>205</v>
      </c>
      <c r="D567" s="3"/>
      <c r="E567" s="3" t="s">
        <v>205</v>
      </c>
      <c r="F567" s="3"/>
      <c r="G567" s="3"/>
      <c r="H567" s="3"/>
      <c r="I567" s="3"/>
      <c r="J567" s="3"/>
      <c r="K567" s="3"/>
      <c r="L567" s="3" t="s">
        <v>90</v>
      </c>
      <c r="M567" s="3">
        <v>110</v>
      </c>
      <c r="N567" s="3" t="s">
        <v>111</v>
      </c>
      <c r="O567" s="3"/>
      <c r="P567" s="3"/>
      <c r="Q567" s="3">
        <v>1.1080000000000001</v>
      </c>
      <c r="R567" s="3" t="s">
        <v>13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89</v>
      </c>
      <c r="C568" s="3" t="s">
        <v>205</v>
      </c>
      <c r="D568" s="3"/>
      <c r="E568" s="3" t="s">
        <v>205</v>
      </c>
      <c r="F568" s="3"/>
      <c r="G568" s="3"/>
      <c r="H568" s="3"/>
      <c r="I568" s="3"/>
      <c r="J568" s="3"/>
      <c r="K568" s="3"/>
      <c r="L568" s="3" t="s">
        <v>90</v>
      </c>
      <c r="M568" s="3">
        <v>120</v>
      </c>
      <c r="N568" s="3" t="s">
        <v>206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16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89</v>
      </c>
      <c r="C569" s="3" t="s">
        <v>207</v>
      </c>
      <c r="D569" s="3"/>
      <c r="E569" s="3" t="s">
        <v>207</v>
      </c>
      <c r="F569" s="3"/>
      <c r="G569" s="3"/>
      <c r="H569" s="3"/>
      <c r="I569" s="3"/>
      <c r="J569" s="3"/>
      <c r="K569" s="3"/>
      <c r="L569" s="3" t="s">
        <v>90</v>
      </c>
      <c r="M569" s="3">
        <v>10</v>
      </c>
      <c r="N569" s="3" t="s">
        <v>310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16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89</v>
      </c>
      <c r="C570" s="3" t="s">
        <v>207</v>
      </c>
      <c r="D570" s="3"/>
      <c r="E570" s="3" t="s">
        <v>207</v>
      </c>
      <c r="F570" s="3"/>
      <c r="G570" s="3"/>
      <c r="H570" s="3"/>
      <c r="I570" s="3"/>
      <c r="J570" s="3"/>
      <c r="K570" s="3"/>
      <c r="L570" s="3" t="s">
        <v>90</v>
      </c>
      <c r="M570" s="3">
        <v>20</v>
      </c>
      <c r="N570" s="3" t="s">
        <v>109</v>
      </c>
      <c r="O570" s="3"/>
      <c r="P570" s="3"/>
      <c r="Q570" s="3">
        <v>0.78700000000000003</v>
      </c>
      <c r="R570" s="3" t="s">
        <v>15</v>
      </c>
      <c r="S570" s="3"/>
      <c r="T570" s="3">
        <v>10</v>
      </c>
      <c r="U570" s="3"/>
      <c r="V570" s="3" t="s">
        <v>16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89</v>
      </c>
      <c r="C571" s="3" t="s">
        <v>207</v>
      </c>
      <c r="D571" s="3"/>
      <c r="E571" s="3" t="s">
        <v>207</v>
      </c>
      <c r="F571" s="3"/>
      <c r="G571" s="3"/>
      <c r="H571" s="3"/>
      <c r="I571" s="3"/>
      <c r="J571" s="3"/>
      <c r="K571" s="3"/>
      <c r="L571" s="3" t="s">
        <v>90</v>
      </c>
      <c r="M571" s="3">
        <v>30</v>
      </c>
      <c r="N571" s="3" t="s">
        <v>110</v>
      </c>
      <c r="O571" s="3"/>
      <c r="P571" s="3"/>
      <c r="Q571" s="3">
        <v>0.78700000000000003</v>
      </c>
      <c r="R571" s="3" t="s">
        <v>15</v>
      </c>
      <c r="S571" s="3"/>
      <c r="T571" s="3">
        <v>10</v>
      </c>
      <c r="U571" s="3"/>
      <c r="V571" s="3" t="s">
        <v>16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89</v>
      </c>
      <c r="C572" s="3" t="s">
        <v>207</v>
      </c>
      <c r="D572" s="3"/>
      <c r="E572" s="3" t="s">
        <v>207</v>
      </c>
      <c r="F572" s="3"/>
      <c r="G572" s="3"/>
      <c r="H572" s="3"/>
      <c r="I572" s="3"/>
      <c r="J572" s="3"/>
      <c r="K572" s="3"/>
      <c r="L572" s="3" t="s">
        <v>90</v>
      </c>
      <c r="M572" s="3">
        <v>40</v>
      </c>
      <c r="N572" s="3" t="s">
        <v>105</v>
      </c>
      <c r="O572" s="3"/>
      <c r="P572" s="3"/>
      <c r="Q572" s="3">
        <v>0.217</v>
      </c>
      <c r="R572" s="3" t="s">
        <v>106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89</v>
      </c>
      <c r="C573" s="3" t="s">
        <v>207</v>
      </c>
      <c r="D573" s="3"/>
      <c r="E573" s="3" t="s">
        <v>207</v>
      </c>
      <c r="F573" s="3"/>
      <c r="G573" s="3"/>
      <c r="H573" s="3"/>
      <c r="I573" s="3"/>
      <c r="J573" s="3"/>
      <c r="K573" s="3"/>
      <c r="L573" s="3" t="s">
        <v>90</v>
      </c>
      <c r="M573" s="3">
        <v>50</v>
      </c>
      <c r="N573" s="3" t="s">
        <v>107</v>
      </c>
      <c r="O573" s="3"/>
      <c r="P573" s="3"/>
      <c r="Q573" s="3">
        <v>11.074</v>
      </c>
      <c r="R573" s="3" t="s">
        <v>15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89</v>
      </c>
      <c r="C574" s="3" t="s">
        <v>207</v>
      </c>
      <c r="D574" s="3"/>
      <c r="E574" s="3" t="s">
        <v>207</v>
      </c>
      <c r="F574" s="3"/>
      <c r="G574" s="3"/>
      <c r="H574" s="3"/>
      <c r="I574" s="3"/>
      <c r="J574" s="3"/>
      <c r="K574" s="3"/>
      <c r="L574" s="3" t="s">
        <v>90</v>
      </c>
      <c r="M574" s="3">
        <v>60</v>
      </c>
      <c r="N574" s="3" t="s">
        <v>18</v>
      </c>
      <c r="O574" s="3"/>
      <c r="P574" s="3"/>
      <c r="Q574" s="3">
        <v>68.108000000000004</v>
      </c>
      <c r="R574" s="3" t="s">
        <v>15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89</v>
      </c>
      <c r="C575" s="3" t="s">
        <v>207</v>
      </c>
      <c r="D575" s="3"/>
      <c r="E575" s="3" t="s">
        <v>207</v>
      </c>
      <c r="F575" s="3"/>
      <c r="G575" s="3"/>
      <c r="H575" s="3"/>
      <c r="I575" s="3"/>
      <c r="J575" s="3"/>
      <c r="K575" s="3"/>
      <c r="L575" s="3" t="s">
        <v>90</v>
      </c>
      <c r="M575" s="3">
        <v>70</v>
      </c>
      <c r="N575" s="3" t="s">
        <v>113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89</v>
      </c>
      <c r="C576" s="3" t="s">
        <v>207</v>
      </c>
      <c r="D576" s="3"/>
      <c r="E576" s="3" t="s">
        <v>207</v>
      </c>
      <c r="F576" s="3"/>
      <c r="G576" s="3"/>
      <c r="H576" s="3"/>
      <c r="I576" s="3"/>
      <c r="J576" s="3"/>
      <c r="K576" s="3"/>
      <c r="L576" s="3" t="s">
        <v>90</v>
      </c>
      <c r="M576" s="3">
        <v>80</v>
      </c>
      <c r="N576" s="3" t="s">
        <v>21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89</v>
      </c>
      <c r="C577" s="3" t="s">
        <v>207</v>
      </c>
      <c r="D577" s="3"/>
      <c r="E577" s="3" t="s">
        <v>207</v>
      </c>
      <c r="F577" s="3"/>
      <c r="G577" s="3"/>
      <c r="H577" s="3"/>
      <c r="I577" s="3"/>
      <c r="J577" s="3"/>
      <c r="K577" s="3"/>
      <c r="L577" s="3" t="s">
        <v>90</v>
      </c>
      <c r="M577" s="3">
        <v>90</v>
      </c>
      <c r="N577" s="3" t="s">
        <v>22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14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89</v>
      </c>
      <c r="C578" s="3" t="s">
        <v>207</v>
      </c>
      <c r="D578" s="3"/>
      <c r="E578" s="3" t="s">
        <v>207</v>
      </c>
      <c r="F578" s="3"/>
      <c r="G578" s="3"/>
      <c r="H578" s="3"/>
      <c r="I578" s="3"/>
      <c r="J578" s="3"/>
      <c r="K578" s="3"/>
      <c r="L578" s="3" t="s">
        <v>90</v>
      </c>
      <c r="M578" s="3">
        <v>100</v>
      </c>
      <c r="N578" s="3" t="s">
        <v>23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89</v>
      </c>
      <c r="C579" s="3" t="s">
        <v>207</v>
      </c>
      <c r="D579" s="3"/>
      <c r="E579" s="3" t="s">
        <v>207</v>
      </c>
      <c r="F579" s="3"/>
      <c r="G579" s="3"/>
      <c r="H579" s="3"/>
      <c r="I579" s="3"/>
      <c r="J579" s="3"/>
      <c r="K579" s="3"/>
      <c r="L579" s="3" t="s">
        <v>90</v>
      </c>
      <c r="M579" s="3">
        <v>110</v>
      </c>
      <c r="N579" s="3" t="s">
        <v>111</v>
      </c>
      <c r="O579" s="3"/>
      <c r="P579" s="3"/>
      <c r="Q579" s="3">
        <v>0.54</v>
      </c>
      <c r="R579" s="3" t="s">
        <v>13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89</v>
      </c>
      <c r="C580" s="3" t="s">
        <v>207</v>
      </c>
      <c r="D580" s="3"/>
      <c r="E580" s="3" t="s">
        <v>207</v>
      </c>
      <c r="F580" s="3"/>
      <c r="G580" s="3"/>
      <c r="H580" s="3"/>
      <c r="I580" s="3"/>
      <c r="J580" s="3"/>
      <c r="K580" s="3"/>
      <c r="L580" s="3" t="s">
        <v>90</v>
      </c>
      <c r="M580" s="3">
        <v>120</v>
      </c>
      <c r="N580" s="3" t="s">
        <v>208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89</v>
      </c>
      <c r="C581" s="3" t="s">
        <v>209</v>
      </c>
      <c r="D581" s="3"/>
      <c r="E581" s="3" t="s">
        <v>209</v>
      </c>
      <c r="F581" s="3"/>
      <c r="G581" s="3"/>
      <c r="H581" s="3"/>
      <c r="I581" s="3"/>
      <c r="J581" s="3"/>
      <c r="K581" s="3"/>
      <c r="L581" s="3" t="s">
        <v>90</v>
      </c>
      <c r="M581" s="3">
        <v>10</v>
      </c>
      <c r="N581" s="3" t="s">
        <v>311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89</v>
      </c>
      <c r="C582" s="3" t="s">
        <v>209</v>
      </c>
      <c r="D582" s="3"/>
      <c r="E582" s="3" t="s">
        <v>209</v>
      </c>
      <c r="F582" s="3"/>
      <c r="G582" s="3"/>
      <c r="H582" s="3"/>
      <c r="I582" s="3"/>
      <c r="J582" s="3"/>
      <c r="K582" s="3"/>
      <c r="L582" s="3" t="s">
        <v>90</v>
      </c>
      <c r="M582" s="3">
        <v>20</v>
      </c>
      <c r="N582" s="3" t="s">
        <v>109</v>
      </c>
      <c r="O582" s="3"/>
      <c r="P582" s="3"/>
      <c r="Q582" s="3">
        <v>0.94</v>
      </c>
      <c r="R582" s="3" t="s">
        <v>15</v>
      </c>
      <c r="S582" s="3"/>
      <c r="T582" s="3">
        <v>10</v>
      </c>
      <c r="U582" s="3"/>
      <c r="V582" s="3" t="s">
        <v>16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89</v>
      </c>
      <c r="C583" s="3" t="s">
        <v>209</v>
      </c>
      <c r="D583" s="3"/>
      <c r="E583" s="3" t="s">
        <v>209</v>
      </c>
      <c r="F583" s="3"/>
      <c r="G583" s="3"/>
      <c r="H583" s="3"/>
      <c r="I583" s="3"/>
      <c r="J583" s="3"/>
      <c r="K583" s="3"/>
      <c r="L583" s="3" t="s">
        <v>90</v>
      </c>
      <c r="M583" s="3">
        <v>30</v>
      </c>
      <c r="N583" s="3" t="s">
        <v>110</v>
      </c>
      <c r="O583" s="3"/>
      <c r="P583" s="3"/>
      <c r="Q583" s="3">
        <v>0.94</v>
      </c>
      <c r="R583" s="3" t="s">
        <v>15</v>
      </c>
      <c r="S583" s="3"/>
      <c r="T583" s="3">
        <v>10</v>
      </c>
      <c r="U583" s="3"/>
      <c r="V583" s="3" t="s">
        <v>16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89</v>
      </c>
      <c r="C584" s="3" t="s">
        <v>209</v>
      </c>
      <c r="D584" s="3"/>
      <c r="E584" s="3" t="s">
        <v>209</v>
      </c>
      <c r="F584" s="3"/>
      <c r="G584" s="3"/>
      <c r="H584" s="3"/>
      <c r="I584" s="3"/>
      <c r="J584" s="3"/>
      <c r="K584" s="3"/>
      <c r="L584" s="3" t="s">
        <v>90</v>
      </c>
      <c r="M584" s="3">
        <v>40</v>
      </c>
      <c r="N584" s="3" t="s">
        <v>105</v>
      </c>
      <c r="O584" s="3"/>
      <c r="P584" s="3"/>
      <c r="Q584" s="3">
        <v>0.26200000000000001</v>
      </c>
      <c r="R584" s="3" t="s">
        <v>106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89</v>
      </c>
      <c r="C585" s="3" t="s">
        <v>209</v>
      </c>
      <c r="D585" s="3"/>
      <c r="E585" s="3" t="s">
        <v>209</v>
      </c>
      <c r="F585" s="3"/>
      <c r="G585" s="3"/>
      <c r="H585" s="3"/>
      <c r="I585" s="3"/>
      <c r="J585" s="3"/>
      <c r="K585" s="3"/>
      <c r="L585" s="3" t="s">
        <v>90</v>
      </c>
      <c r="M585" s="3">
        <v>50</v>
      </c>
      <c r="N585" s="3" t="s">
        <v>107</v>
      </c>
      <c r="O585" s="3"/>
      <c r="P585" s="3"/>
      <c r="Q585" s="3">
        <v>11.683999999999999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89</v>
      </c>
      <c r="C586" s="3" t="s">
        <v>209</v>
      </c>
      <c r="D586" s="3"/>
      <c r="E586" s="3" t="s">
        <v>209</v>
      </c>
      <c r="F586" s="3"/>
      <c r="G586" s="3"/>
      <c r="H586" s="3"/>
      <c r="I586" s="3"/>
      <c r="J586" s="3"/>
      <c r="K586" s="3"/>
      <c r="L586" s="3" t="s">
        <v>90</v>
      </c>
      <c r="M586" s="3">
        <v>60</v>
      </c>
      <c r="N586" s="3" t="s">
        <v>18</v>
      </c>
      <c r="O586" s="3"/>
      <c r="P586" s="3"/>
      <c r="Q586" s="3">
        <v>71.856999999999999</v>
      </c>
      <c r="R586" s="3" t="s">
        <v>15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89</v>
      </c>
      <c r="C587" s="3" t="s">
        <v>209</v>
      </c>
      <c r="D587" s="3"/>
      <c r="E587" s="3" t="s">
        <v>209</v>
      </c>
      <c r="F587" s="3"/>
      <c r="G587" s="3"/>
      <c r="H587" s="3"/>
      <c r="I587" s="3"/>
      <c r="J587" s="3"/>
      <c r="K587" s="3"/>
      <c r="L587" s="3" t="s">
        <v>90</v>
      </c>
      <c r="M587" s="3">
        <v>70</v>
      </c>
      <c r="N587" s="3" t="s">
        <v>113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89</v>
      </c>
      <c r="C588" s="3" t="s">
        <v>209</v>
      </c>
      <c r="D588" s="3"/>
      <c r="E588" s="3" t="s">
        <v>209</v>
      </c>
      <c r="F588" s="3"/>
      <c r="G588" s="3"/>
      <c r="H588" s="3"/>
      <c r="I588" s="3"/>
      <c r="J588" s="3"/>
      <c r="K588" s="3"/>
      <c r="L588" s="3" t="s">
        <v>90</v>
      </c>
      <c r="M588" s="3">
        <v>80</v>
      </c>
      <c r="N588" s="3" t="s">
        <v>21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89</v>
      </c>
      <c r="C589" s="3" t="s">
        <v>209</v>
      </c>
      <c r="D589" s="3"/>
      <c r="E589" s="3" t="s">
        <v>209</v>
      </c>
      <c r="F589" s="3"/>
      <c r="G589" s="3"/>
      <c r="H589" s="3"/>
      <c r="I589" s="3"/>
      <c r="J589" s="3"/>
      <c r="K589" s="3"/>
      <c r="L589" s="3" t="s">
        <v>90</v>
      </c>
      <c r="M589" s="3">
        <v>90</v>
      </c>
      <c r="N589" s="3" t="s">
        <v>22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89</v>
      </c>
      <c r="C590" s="3" t="s">
        <v>209</v>
      </c>
      <c r="D590" s="3"/>
      <c r="E590" s="3" t="s">
        <v>209</v>
      </c>
      <c r="F590" s="3"/>
      <c r="G590" s="3"/>
      <c r="H590" s="3"/>
      <c r="I590" s="3"/>
      <c r="J590" s="3"/>
      <c r="K590" s="3"/>
      <c r="L590" s="3" t="s">
        <v>90</v>
      </c>
      <c r="M590" s="3">
        <v>100</v>
      </c>
      <c r="N590" s="3" t="s">
        <v>23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89</v>
      </c>
      <c r="C591" s="3" t="s">
        <v>209</v>
      </c>
      <c r="D591" s="3"/>
      <c r="E591" s="3" t="s">
        <v>209</v>
      </c>
      <c r="F591" s="3"/>
      <c r="G591" s="3"/>
      <c r="H591" s="3"/>
      <c r="I591" s="3"/>
      <c r="J591" s="3"/>
      <c r="K591" s="3"/>
      <c r="L591" s="3" t="s">
        <v>90</v>
      </c>
      <c r="M591" s="3">
        <v>110</v>
      </c>
      <c r="N591" s="3" t="s">
        <v>111</v>
      </c>
      <c r="O591" s="3"/>
      <c r="P591" s="3"/>
      <c r="Q591" s="3">
        <v>0.622</v>
      </c>
      <c r="R591" s="3" t="s">
        <v>13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89</v>
      </c>
      <c r="C592" s="3" t="s">
        <v>209</v>
      </c>
      <c r="D592" s="3"/>
      <c r="E592" s="3" t="s">
        <v>209</v>
      </c>
      <c r="F592" s="3"/>
      <c r="G592" s="3"/>
      <c r="H592" s="3"/>
      <c r="I592" s="3"/>
      <c r="J592" s="3"/>
      <c r="K592" s="3"/>
      <c r="L592" s="3" t="s">
        <v>90</v>
      </c>
      <c r="M592" s="3">
        <v>120</v>
      </c>
      <c r="N592" s="3" t="s">
        <v>210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89</v>
      </c>
      <c r="C593" s="3" t="s">
        <v>211</v>
      </c>
      <c r="D593" s="3"/>
      <c r="E593" s="3" t="s">
        <v>211</v>
      </c>
      <c r="F593" s="3"/>
      <c r="G593" s="3"/>
      <c r="H593" s="3"/>
      <c r="I593" s="3"/>
      <c r="J593" s="3"/>
      <c r="K593" s="3"/>
      <c r="L593" s="3" t="s">
        <v>90</v>
      </c>
      <c r="M593" s="3">
        <v>10</v>
      </c>
      <c r="N593" s="3" t="s">
        <v>312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89</v>
      </c>
      <c r="C594" s="3" t="s">
        <v>211</v>
      </c>
      <c r="D594" s="3"/>
      <c r="E594" s="3" t="s">
        <v>211</v>
      </c>
      <c r="F594" s="3"/>
      <c r="G594" s="3"/>
      <c r="H594" s="3"/>
      <c r="I594" s="3"/>
      <c r="J594" s="3"/>
      <c r="K594" s="3"/>
      <c r="L594" s="3" t="s">
        <v>90</v>
      </c>
      <c r="M594" s="3">
        <v>20</v>
      </c>
      <c r="N594" s="3" t="s">
        <v>109</v>
      </c>
      <c r="O594" s="3"/>
      <c r="P594" s="3"/>
      <c r="Q594" s="3">
        <v>1.0920000000000001</v>
      </c>
      <c r="R594" s="3" t="s">
        <v>15</v>
      </c>
      <c r="S594" s="3"/>
      <c r="T594" s="3">
        <v>10</v>
      </c>
      <c r="U594" s="3"/>
      <c r="V594" s="3" t="s">
        <v>16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89</v>
      </c>
      <c r="C595" s="3" t="s">
        <v>211</v>
      </c>
      <c r="D595" s="3"/>
      <c r="E595" s="3" t="s">
        <v>211</v>
      </c>
      <c r="F595" s="3"/>
      <c r="G595" s="3"/>
      <c r="H595" s="3"/>
      <c r="I595" s="3"/>
      <c r="J595" s="3"/>
      <c r="K595" s="3"/>
      <c r="L595" s="3" t="s">
        <v>90</v>
      </c>
      <c r="M595" s="3">
        <v>30</v>
      </c>
      <c r="N595" s="3" t="s">
        <v>110</v>
      </c>
      <c r="O595" s="3"/>
      <c r="P595" s="3"/>
      <c r="Q595" s="3">
        <v>1.0920000000000001</v>
      </c>
      <c r="R595" s="3" t="s">
        <v>15</v>
      </c>
      <c r="S595" s="3"/>
      <c r="T595" s="3">
        <v>10</v>
      </c>
      <c r="U595" s="3"/>
      <c r="V595" s="3" t="s">
        <v>16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89</v>
      </c>
      <c r="C596" s="3" t="s">
        <v>211</v>
      </c>
      <c r="D596" s="3"/>
      <c r="E596" s="3" t="s">
        <v>211</v>
      </c>
      <c r="F596" s="3"/>
      <c r="G596" s="3"/>
      <c r="H596" s="3"/>
      <c r="I596" s="3"/>
      <c r="J596" s="3"/>
      <c r="K596" s="3"/>
      <c r="L596" s="3" t="s">
        <v>90</v>
      </c>
      <c r="M596" s="3">
        <v>40</v>
      </c>
      <c r="N596" s="3" t="s">
        <v>105</v>
      </c>
      <c r="O596" s="3"/>
      <c r="P596" s="3"/>
      <c r="Q596" s="3">
        <v>0.307</v>
      </c>
      <c r="R596" s="3" t="s">
        <v>106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89</v>
      </c>
      <c r="C597" s="3" t="s">
        <v>211</v>
      </c>
      <c r="D597" s="3"/>
      <c r="E597" s="3" t="s">
        <v>211</v>
      </c>
      <c r="F597" s="3"/>
      <c r="G597" s="3"/>
      <c r="H597" s="3"/>
      <c r="I597" s="3"/>
      <c r="J597" s="3"/>
      <c r="K597" s="3"/>
      <c r="L597" s="3" t="s">
        <v>90</v>
      </c>
      <c r="M597" s="3">
        <v>50</v>
      </c>
      <c r="N597" s="3" t="s">
        <v>107</v>
      </c>
      <c r="O597" s="3"/>
      <c r="P597" s="3"/>
      <c r="Q597" s="3">
        <v>12.294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89</v>
      </c>
      <c r="C598" s="3" t="s">
        <v>211</v>
      </c>
      <c r="D598" s="3"/>
      <c r="E598" s="3" t="s">
        <v>211</v>
      </c>
      <c r="F598" s="3"/>
      <c r="G598" s="3"/>
      <c r="H598" s="3"/>
      <c r="I598" s="3"/>
      <c r="J598" s="3"/>
      <c r="K598" s="3"/>
      <c r="L598" s="3" t="s">
        <v>90</v>
      </c>
      <c r="M598" s="3">
        <v>60</v>
      </c>
      <c r="N598" s="3" t="s">
        <v>18</v>
      </c>
      <c r="O598" s="3"/>
      <c r="P598" s="3"/>
      <c r="Q598" s="3">
        <v>75.605999999999995</v>
      </c>
      <c r="R598" s="3" t="s">
        <v>15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89</v>
      </c>
      <c r="C599" s="3" t="s">
        <v>211</v>
      </c>
      <c r="D599" s="3"/>
      <c r="E599" s="3" t="s">
        <v>211</v>
      </c>
      <c r="F599" s="3"/>
      <c r="G599" s="3"/>
      <c r="H599" s="3"/>
      <c r="I599" s="3"/>
      <c r="J599" s="3"/>
      <c r="K599" s="3"/>
      <c r="L599" s="3" t="s">
        <v>90</v>
      </c>
      <c r="M599" s="3">
        <v>70</v>
      </c>
      <c r="N599" s="3" t="s">
        <v>113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89</v>
      </c>
      <c r="C600" s="3" t="s">
        <v>211</v>
      </c>
      <c r="D600" s="3"/>
      <c r="E600" s="3" t="s">
        <v>211</v>
      </c>
      <c r="F600" s="3"/>
      <c r="G600" s="3"/>
      <c r="H600" s="3"/>
      <c r="I600" s="3"/>
      <c r="J600" s="3"/>
      <c r="K600" s="3"/>
      <c r="L600" s="3" t="s">
        <v>90</v>
      </c>
      <c r="M600" s="3">
        <v>80</v>
      </c>
      <c r="N600" s="3" t="s">
        <v>21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89</v>
      </c>
      <c r="C601" s="3" t="s">
        <v>211</v>
      </c>
      <c r="D601" s="3"/>
      <c r="E601" s="3" t="s">
        <v>211</v>
      </c>
      <c r="F601" s="3"/>
      <c r="G601" s="3"/>
      <c r="H601" s="3"/>
      <c r="I601" s="3"/>
      <c r="J601" s="3"/>
      <c r="K601" s="3"/>
      <c r="L601" s="3" t="s">
        <v>90</v>
      </c>
      <c r="M601" s="3">
        <v>90</v>
      </c>
      <c r="N601" s="3" t="s">
        <v>22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89</v>
      </c>
      <c r="C602" s="3" t="s">
        <v>211</v>
      </c>
      <c r="D602" s="3"/>
      <c r="E602" s="3" t="s">
        <v>211</v>
      </c>
      <c r="F602" s="3"/>
      <c r="G602" s="3"/>
      <c r="H602" s="3"/>
      <c r="I602" s="3"/>
      <c r="J602" s="3"/>
      <c r="K602" s="3"/>
      <c r="L602" s="3" t="s">
        <v>90</v>
      </c>
      <c r="M602" s="3">
        <v>100</v>
      </c>
      <c r="N602" s="3" t="s">
        <v>23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89</v>
      </c>
      <c r="C603" s="3" t="s">
        <v>211</v>
      </c>
      <c r="D603" s="3"/>
      <c r="E603" s="3" t="s">
        <v>211</v>
      </c>
      <c r="F603" s="3"/>
      <c r="G603" s="3"/>
      <c r="H603" s="3"/>
      <c r="I603" s="3"/>
      <c r="J603" s="3"/>
      <c r="K603" s="3"/>
      <c r="L603" s="3" t="s">
        <v>90</v>
      </c>
      <c r="M603" s="3">
        <v>110</v>
      </c>
      <c r="N603" s="3" t="s">
        <v>111</v>
      </c>
      <c r="O603" s="3"/>
      <c r="P603" s="3"/>
      <c r="Q603" s="3">
        <v>0.70299999999999996</v>
      </c>
      <c r="R603" s="3" t="s">
        <v>13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89</v>
      </c>
      <c r="C604" s="3" t="s">
        <v>211</v>
      </c>
      <c r="D604" s="3"/>
      <c r="E604" s="3" t="s">
        <v>211</v>
      </c>
      <c r="F604" s="3"/>
      <c r="G604" s="3"/>
      <c r="H604" s="3"/>
      <c r="I604" s="3"/>
      <c r="J604" s="3"/>
      <c r="K604" s="3"/>
      <c r="L604" s="3" t="s">
        <v>90</v>
      </c>
      <c r="M604" s="3">
        <v>120</v>
      </c>
      <c r="N604" s="3" t="s">
        <v>212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89</v>
      </c>
      <c r="C605" s="3" t="s">
        <v>213</v>
      </c>
      <c r="D605" s="3"/>
      <c r="E605" s="3" t="s">
        <v>213</v>
      </c>
      <c r="F605" s="3"/>
      <c r="G605" s="3"/>
      <c r="H605" s="3"/>
      <c r="I605" s="3"/>
      <c r="J605" s="3"/>
      <c r="K605" s="3"/>
      <c r="L605" s="3" t="s">
        <v>90</v>
      </c>
      <c r="M605" s="3">
        <v>10</v>
      </c>
      <c r="N605" s="3" t="s">
        <v>313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89</v>
      </c>
      <c r="C606" s="3" t="s">
        <v>213</v>
      </c>
      <c r="D606" s="3"/>
      <c r="E606" s="3" t="s">
        <v>213</v>
      </c>
      <c r="F606" s="3"/>
      <c r="G606" s="3"/>
      <c r="H606" s="3"/>
      <c r="I606" s="3"/>
      <c r="J606" s="3"/>
      <c r="K606" s="3"/>
      <c r="L606" s="3" t="s">
        <v>90</v>
      </c>
      <c r="M606" s="3">
        <v>20</v>
      </c>
      <c r="N606" s="3" t="s">
        <v>109</v>
      </c>
      <c r="O606" s="3"/>
      <c r="P606" s="3"/>
      <c r="Q606" s="3">
        <v>1.2450000000000001</v>
      </c>
      <c r="R606" s="3" t="s">
        <v>15</v>
      </c>
      <c r="S606" s="3"/>
      <c r="T606" s="3">
        <v>10</v>
      </c>
      <c r="U606" s="3"/>
      <c r="V606" s="3" t="s">
        <v>16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89</v>
      </c>
      <c r="C607" s="3" t="s">
        <v>213</v>
      </c>
      <c r="D607" s="3"/>
      <c r="E607" s="3" t="s">
        <v>213</v>
      </c>
      <c r="F607" s="3"/>
      <c r="G607" s="3"/>
      <c r="H607" s="3"/>
      <c r="I607" s="3"/>
      <c r="J607" s="3"/>
      <c r="K607" s="3"/>
      <c r="L607" s="3" t="s">
        <v>90</v>
      </c>
      <c r="M607" s="3">
        <v>30</v>
      </c>
      <c r="N607" s="3" t="s">
        <v>110</v>
      </c>
      <c r="O607" s="3"/>
      <c r="P607" s="3"/>
      <c r="Q607" s="3">
        <v>1.2450000000000001</v>
      </c>
      <c r="R607" s="3" t="s">
        <v>15</v>
      </c>
      <c r="S607" s="3"/>
      <c r="T607" s="3">
        <v>10</v>
      </c>
      <c r="U607" s="3"/>
      <c r="V607" s="3" t="s">
        <v>16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89</v>
      </c>
      <c r="C608" s="3" t="s">
        <v>213</v>
      </c>
      <c r="D608" s="3"/>
      <c r="E608" s="3" t="s">
        <v>213</v>
      </c>
      <c r="F608" s="3"/>
      <c r="G608" s="3"/>
      <c r="H608" s="3"/>
      <c r="I608" s="3"/>
      <c r="J608" s="3"/>
      <c r="K608" s="3"/>
      <c r="L608" s="3" t="s">
        <v>90</v>
      </c>
      <c r="M608" s="3">
        <v>40</v>
      </c>
      <c r="N608" s="3" t="s">
        <v>105</v>
      </c>
      <c r="O608" s="3"/>
      <c r="P608" s="3"/>
      <c r="Q608" s="3">
        <v>0.35199999999999998</v>
      </c>
      <c r="R608" s="3" t="s">
        <v>106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89</v>
      </c>
      <c r="C609" s="3" t="s">
        <v>213</v>
      </c>
      <c r="D609" s="3"/>
      <c r="E609" s="3" t="s">
        <v>213</v>
      </c>
      <c r="F609" s="3"/>
      <c r="G609" s="3"/>
      <c r="H609" s="3"/>
      <c r="I609" s="3"/>
      <c r="J609" s="3"/>
      <c r="K609" s="3"/>
      <c r="L609" s="3" t="s">
        <v>90</v>
      </c>
      <c r="M609" s="3">
        <v>50</v>
      </c>
      <c r="N609" s="3" t="s">
        <v>107</v>
      </c>
      <c r="O609" s="3"/>
      <c r="P609" s="3"/>
      <c r="Q609" s="3">
        <v>12.903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89</v>
      </c>
      <c r="C610" s="3" t="s">
        <v>213</v>
      </c>
      <c r="D610" s="3"/>
      <c r="E610" s="3" t="s">
        <v>213</v>
      </c>
      <c r="F610" s="3"/>
      <c r="G610" s="3"/>
      <c r="H610" s="3"/>
      <c r="I610" s="3"/>
      <c r="J610" s="3"/>
      <c r="K610" s="3"/>
      <c r="L610" s="3" t="s">
        <v>90</v>
      </c>
      <c r="M610" s="3">
        <v>60</v>
      </c>
      <c r="N610" s="3" t="s">
        <v>18</v>
      </c>
      <c r="O610" s="3"/>
      <c r="P610" s="3"/>
      <c r="Q610" s="3">
        <v>79.355000000000004</v>
      </c>
      <c r="R610" s="3" t="s">
        <v>15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89</v>
      </c>
      <c r="C611" s="3" t="s">
        <v>213</v>
      </c>
      <c r="D611" s="3"/>
      <c r="E611" s="3" t="s">
        <v>213</v>
      </c>
      <c r="F611" s="3"/>
      <c r="G611" s="3"/>
      <c r="H611" s="3"/>
      <c r="I611" s="3"/>
      <c r="J611" s="3"/>
      <c r="K611" s="3"/>
      <c r="L611" s="3" t="s">
        <v>90</v>
      </c>
      <c r="M611" s="3">
        <v>70</v>
      </c>
      <c r="N611" s="3" t="s">
        <v>113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89</v>
      </c>
      <c r="C612" s="3" t="s">
        <v>213</v>
      </c>
      <c r="D612" s="3"/>
      <c r="E612" s="3" t="s">
        <v>213</v>
      </c>
      <c r="F612" s="3"/>
      <c r="G612" s="3"/>
      <c r="H612" s="3"/>
      <c r="I612" s="3"/>
      <c r="J612" s="3"/>
      <c r="K612" s="3"/>
      <c r="L612" s="3" t="s">
        <v>90</v>
      </c>
      <c r="M612" s="3">
        <v>80</v>
      </c>
      <c r="N612" s="3" t="s">
        <v>21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89</v>
      </c>
      <c r="C613" s="3" t="s">
        <v>213</v>
      </c>
      <c r="D613" s="3"/>
      <c r="E613" s="3" t="s">
        <v>213</v>
      </c>
      <c r="F613" s="3"/>
      <c r="G613" s="3"/>
      <c r="H613" s="3"/>
      <c r="I613" s="3"/>
      <c r="J613" s="3"/>
      <c r="K613" s="3"/>
      <c r="L613" s="3" t="s">
        <v>90</v>
      </c>
      <c r="M613" s="3">
        <v>90</v>
      </c>
      <c r="N613" s="3" t="s">
        <v>22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89</v>
      </c>
      <c r="C614" s="3" t="s">
        <v>213</v>
      </c>
      <c r="D614" s="3"/>
      <c r="E614" s="3" t="s">
        <v>213</v>
      </c>
      <c r="F614" s="3"/>
      <c r="G614" s="3"/>
      <c r="H614" s="3"/>
      <c r="I614" s="3"/>
      <c r="J614" s="3"/>
      <c r="K614" s="3"/>
      <c r="L614" s="3" t="s">
        <v>90</v>
      </c>
      <c r="M614" s="3">
        <v>100</v>
      </c>
      <c r="N614" s="3" t="s">
        <v>23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89</v>
      </c>
      <c r="C615" s="3" t="s">
        <v>213</v>
      </c>
      <c r="D615" s="3"/>
      <c r="E615" s="3" t="s">
        <v>213</v>
      </c>
      <c r="F615" s="3"/>
      <c r="G615" s="3"/>
      <c r="H615" s="3"/>
      <c r="I615" s="3"/>
      <c r="J615" s="3"/>
      <c r="K615" s="3"/>
      <c r="L615" s="3" t="s">
        <v>90</v>
      </c>
      <c r="M615" s="3">
        <v>110</v>
      </c>
      <c r="N615" s="3" t="s">
        <v>111</v>
      </c>
      <c r="O615" s="3"/>
      <c r="P615" s="3"/>
      <c r="Q615" s="3">
        <v>0.78400000000000003</v>
      </c>
      <c r="R615" s="3" t="s">
        <v>13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89</v>
      </c>
      <c r="C616" s="3" t="s">
        <v>213</v>
      </c>
      <c r="D616" s="3"/>
      <c r="E616" s="3" t="s">
        <v>213</v>
      </c>
      <c r="F616" s="3"/>
      <c r="G616" s="3"/>
      <c r="H616" s="3"/>
      <c r="I616" s="3"/>
      <c r="J616" s="3"/>
      <c r="K616" s="3"/>
      <c r="L616" s="3" t="s">
        <v>90</v>
      </c>
      <c r="M616" s="3">
        <v>120</v>
      </c>
      <c r="N616" s="3" t="s">
        <v>214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89</v>
      </c>
      <c r="C617" s="3" t="s">
        <v>215</v>
      </c>
      <c r="D617" s="3"/>
      <c r="E617" s="3" t="s">
        <v>215</v>
      </c>
      <c r="F617" s="3"/>
      <c r="G617" s="3"/>
      <c r="H617" s="3"/>
      <c r="I617" s="3"/>
      <c r="J617" s="3"/>
      <c r="K617" s="3"/>
      <c r="L617" s="3" t="s">
        <v>90</v>
      </c>
      <c r="M617" s="3">
        <v>10</v>
      </c>
      <c r="N617" s="3" t="s">
        <v>314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89</v>
      </c>
      <c r="C618" s="3" t="s">
        <v>215</v>
      </c>
      <c r="D618" s="3"/>
      <c r="E618" s="3" t="s">
        <v>215</v>
      </c>
      <c r="F618" s="3"/>
      <c r="G618" s="3"/>
      <c r="H618" s="3"/>
      <c r="I618" s="3"/>
      <c r="J618" s="3"/>
      <c r="K618" s="3"/>
      <c r="L618" s="3" t="s">
        <v>90</v>
      </c>
      <c r="M618" s="3">
        <v>20</v>
      </c>
      <c r="N618" s="3" t="s">
        <v>109</v>
      </c>
      <c r="O618" s="3"/>
      <c r="P618" s="3"/>
      <c r="Q618" s="3">
        <v>1.5489999999999999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89</v>
      </c>
      <c r="C619" s="3" t="s">
        <v>215</v>
      </c>
      <c r="D619" s="3"/>
      <c r="E619" s="3" t="s">
        <v>215</v>
      </c>
      <c r="F619" s="3"/>
      <c r="G619" s="3"/>
      <c r="H619" s="3"/>
      <c r="I619" s="3"/>
      <c r="J619" s="3"/>
      <c r="K619" s="3"/>
      <c r="L619" s="3" t="s">
        <v>90</v>
      </c>
      <c r="M619" s="3">
        <v>30</v>
      </c>
      <c r="N619" s="3" t="s">
        <v>110</v>
      </c>
      <c r="O619" s="3"/>
      <c r="P619" s="3"/>
      <c r="Q619" s="3">
        <v>1.5489999999999999</v>
      </c>
      <c r="R619" s="3" t="s">
        <v>15</v>
      </c>
      <c r="S619" s="3"/>
      <c r="T619" s="3">
        <v>10</v>
      </c>
      <c r="U619" s="3"/>
      <c r="V619" s="3" t="s">
        <v>16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89</v>
      </c>
      <c r="C620" s="3" t="s">
        <v>215</v>
      </c>
      <c r="D620" s="3"/>
      <c r="E620" s="3" t="s">
        <v>215</v>
      </c>
      <c r="F620" s="3"/>
      <c r="G620" s="3"/>
      <c r="H620" s="3"/>
      <c r="I620" s="3"/>
      <c r="J620" s="3"/>
      <c r="K620" s="3"/>
      <c r="L620" s="3" t="s">
        <v>90</v>
      </c>
      <c r="M620" s="3">
        <v>40</v>
      </c>
      <c r="N620" s="3" t="s">
        <v>105</v>
      </c>
      <c r="O620" s="3"/>
      <c r="P620" s="3"/>
      <c r="Q620" s="3">
        <v>0.442</v>
      </c>
      <c r="R620" s="3" t="s">
        <v>106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89</v>
      </c>
      <c r="C621" s="3" t="s">
        <v>215</v>
      </c>
      <c r="D621" s="3"/>
      <c r="E621" s="3" t="s">
        <v>215</v>
      </c>
      <c r="F621" s="3"/>
      <c r="G621" s="3"/>
      <c r="H621" s="3"/>
      <c r="I621" s="3"/>
      <c r="J621" s="3"/>
      <c r="K621" s="3"/>
      <c r="L621" s="3" t="s">
        <v>90</v>
      </c>
      <c r="M621" s="3">
        <v>50</v>
      </c>
      <c r="N621" s="3" t="s">
        <v>107</v>
      </c>
      <c r="O621" s="3"/>
      <c r="P621" s="3"/>
      <c r="Q621" s="3">
        <v>14.122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89</v>
      </c>
      <c r="C622" s="3" t="s">
        <v>215</v>
      </c>
      <c r="D622" s="3"/>
      <c r="E622" s="3" t="s">
        <v>215</v>
      </c>
      <c r="F622" s="3"/>
      <c r="G622" s="3"/>
      <c r="H622" s="3"/>
      <c r="I622" s="3"/>
      <c r="J622" s="3"/>
      <c r="K622" s="3"/>
      <c r="L622" s="3" t="s">
        <v>90</v>
      </c>
      <c r="M622" s="3">
        <v>60</v>
      </c>
      <c r="N622" s="3" t="s">
        <v>18</v>
      </c>
      <c r="O622" s="3"/>
      <c r="P622" s="3"/>
      <c r="Q622" s="3">
        <v>86.852999999999994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89</v>
      </c>
      <c r="C623" s="3" t="s">
        <v>215</v>
      </c>
      <c r="D623" s="3"/>
      <c r="E623" s="3" t="s">
        <v>215</v>
      </c>
      <c r="F623" s="3"/>
      <c r="G623" s="3"/>
      <c r="H623" s="3"/>
      <c r="I623" s="3"/>
      <c r="J623" s="3"/>
      <c r="K623" s="3"/>
      <c r="L623" s="3" t="s">
        <v>90</v>
      </c>
      <c r="M623" s="3">
        <v>70</v>
      </c>
      <c r="N623" s="3" t="s">
        <v>113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89</v>
      </c>
      <c r="C624" s="3" t="s">
        <v>215</v>
      </c>
      <c r="D624" s="3"/>
      <c r="E624" s="3" t="s">
        <v>215</v>
      </c>
      <c r="F624" s="3"/>
      <c r="G624" s="3"/>
      <c r="H624" s="3"/>
      <c r="I624" s="3"/>
      <c r="J624" s="3"/>
      <c r="K624" s="3"/>
      <c r="L624" s="3" t="s">
        <v>90</v>
      </c>
      <c r="M624" s="3">
        <v>80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89</v>
      </c>
      <c r="C625" s="3" t="s">
        <v>215</v>
      </c>
      <c r="D625" s="3"/>
      <c r="E625" s="3" t="s">
        <v>215</v>
      </c>
      <c r="F625" s="3"/>
      <c r="G625" s="3"/>
      <c r="H625" s="3"/>
      <c r="I625" s="3"/>
      <c r="J625" s="3"/>
      <c r="K625" s="3"/>
      <c r="L625" s="3" t="s">
        <v>90</v>
      </c>
      <c r="M625" s="3">
        <v>90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89</v>
      </c>
      <c r="C626" s="3" t="s">
        <v>215</v>
      </c>
      <c r="D626" s="3"/>
      <c r="E626" s="3" t="s">
        <v>215</v>
      </c>
      <c r="F626" s="3"/>
      <c r="G626" s="3"/>
      <c r="H626" s="3"/>
      <c r="I626" s="3"/>
      <c r="J626" s="3"/>
      <c r="K626" s="3"/>
      <c r="L626" s="3" t="s">
        <v>90</v>
      </c>
      <c r="M626" s="3">
        <v>100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89</v>
      </c>
      <c r="C627" s="3" t="s">
        <v>215</v>
      </c>
      <c r="D627" s="3"/>
      <c r="E627" s="3" t="s">
        <v>215</v>
      </c>
      <c r="F627" s="3"/>
      <c r="G627" s="3"/>
      <c r="H627" s="3"/>
      <c r="I627" s="3"/>
      <c r="J627" s="3"/>
      <c r="K627" s="3"/>
      <c r="L627" s="3" t="s">
        <v>90</v>
      </c>
      <c r="M627" s="3">
        <v>110</v>
      </c>
      <c r="N627" s="3" t="s">
        <v>111</v>
      </c>
      <c r="O627" s="3"/>
      <c r="P627" s="3"/>
      <c r="Q627" s="3">
        <v>0.94599999999999995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89</v>
      </c>
      <c r="C628" s="3" t="s">
        <v>215</v>
      </c>
      <c r="D628" s="3"/>
      <c r="E628" s="3" t="s">
        <v>215</v>
      </c>
      <c r="F628" s="3"/>
      <c r="G628" s="3"/>
      <c r="H628" s="3"/>
      <c r="I628" s="3"/>
      <c r="J628" s="3"/>
      <c r="K628" s="3"/>
      <c r="L628" s="3" t="s">
        <v>90</v>
      </c>
      <c r="M628" s="3">
        <v>120</v>
      </c>
      <c r="N628" s="3" t="s">
        <v>216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89</v>
      </c>
      <c r="C629" s="3" t="s">
        <v>217</v>
      </c>
      <c r="D629" s="3"/>
      <c r="E629" s="3" t="s">
        <v>217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315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89</v>
      </c>
      <c r="C630" s="3" t="s">
        <v>217</v>
      </c>
      <c r="D630" s="3"/>
      <c r="E630" s="3" t="s">
        <v>217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109</v>
      </c>
      <c r="O630" s="3"/>
      <c r="P630" s="3"/>
      <c r="Q630" s="3">
        <v>1.702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89</v>
      </c>
      <c r="C631" s="3" t="s">
        <v>217</v>
      </c>
      <c r="D631" s="3"/>
      <c r="E631" s="3" t="s">
        <v>217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110</v>
      </c>
      <c r="O631" s="3"/>
      <c r="P631" s="3"/>
      <c r="Q631" s="3">
        <v>1.702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89</v>
      </c>
      <c r="C632" s="3" t="s">
        <v>217</v>
      </c>
      <c r="D632" s="3"/>
      <c r="E632" s="3" t="s">
        <v>217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105</v>
      </c>
      <c r="O632" s="3"/>
      <c r="P632" s="3"/>
      <c r="Q632" s="3">
        <v>0.48699999999999999</v>
      </c>
      <c r="R632" s="3" t="s">
        <v>106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89</v>
      </c>
      <c r="C633" s="3" t="s">
        <v>217</v>
      </c>
      <c r="D633" s="3"/>
      <c r="E633" s="3" t="s">
        <v>217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107</v>
      </c>
      <c r="O633" s="3"/>
      <c r="P633" s="3"/>
      <c r="Q633" s="3">
        <v>14.731999999999999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89</v>
      </c>
      <c r="C634" s="3" t="s">
        <v>217</v>
      </c>
      <c r="D634" s="3"/>
      <c r="E634" s="3" t="s">
        <v>217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18</v>
      </c>
      <c r="O634" s="3"/>
      <c r="P634" s="3"/>
      <c r="Q634" s="3">
        <v>90.602000000000004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89</v>
      </c>
      <c r="C635" s="3" t="s">
        <v>217</v>
      </c>
      <c r="D635" s="3"/>
      <c r="E635" s="3" t="s">
        <v>217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113</v>
      </c>
      <c r="O635" s="3"/>
      <c r="P635" s="3"/>
      <c r="Q635" s="3">
        <v>4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89</v>
      </c>
      <c r="C636" s="3" t="s">
        <v>217</v>
      </c>
      <c r="D636" s="3"/>
      <c r="E636" s="3" t="s">
        <v>217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21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89</v>
      </c>
      <c r="C637" s="3" t="s">
        <v>217</v>
      </c>
      <c r="D637" s="3"/>
      <c r="E637" s="3" t="s">
        <v>217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22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89</v>
      </c>
      <c r="C638" s="3" t="s">
        <v>217</v>
      </c>
      <c r="D638" s="3"/>
      <c r="E638" s="3" t="s">
        <v>217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23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89</v>
      </c>
      <c r="C639" s="3" t="s">
        <v>217</v>
      </c>
      <c r="D639" s="3"/>
      <c r="E639" s="3" t="s">
        <v>217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111</v>
      </c>
      <c r="O639" s="3"/>
      <c r="P639" s="3"/>
      <c r="Q639" s="3">
        <v>1.0269999999999999</v>
      </c>
      <c r="R639" s="3" t="s">
        <v>13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89</v>
      </c>
      <c r="C640" s="3" t="s">
        <v>217</v>
      </c>
      <c r="D640" s="3"/>
      <c r="E640" s="3" t="s">
        <v>217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218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16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89</v>
      </c>
      <c r="C641" s="3" t="s">
        <v>219</v>
      </c>
      <c r="D641" s="3"/>
      <c r="E641" s="3" t="s">
        <v>219</v>
      </c>
      <c r="F641" s="3"/>
      <c r="G641" s="3"/>
      <c r="H641" s="3"/>
      <c r="I641" s="3"/>
      <c r="J641" s="3"/>
      <c r="K641" s="3"/>
      <c r="L641" s="3" t="s">
        <v>90</v>
      </c>
      <c r="M641" s="3">
        <v>10</v>
      </c>
      <c r="N641" s="3" t="s">
        <v>316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89</v>
      </c>
      <c r="C642" s="3" t="s">
        <v>219</v>
      </c>
      <c r="D642" s="3"/>
      <c r="E642" s="3" t="s">
        <v>219</v>
      </c>
      <c r="F642" s="3"/>
      <c r="G642" s="3"/>
      <c r="H642" s="3"/>
      <c r="I642" s="3"/>
      <c r="J642" s="3"/>
      <c r="K642" s="3"/>
      <c r="L642" s="3" t="s">
        <v>90</v>
      </c>
      <c r="M642" s="3">
        <v>20</v>
      </c>
      <c r="N642" s="3" t="s">
        <v>109</v>
      </c>
      <c r="O642" s="3"/>
      <c r="P642" s="3"/>
      <c r="Q642" s="3">
        <v>1.8540000000000001</v>
      </c>
      <c r="R642" s="3" t="s">
        <v>15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89</v>
      </c>
      <c r="C643" s="3" t="s">
        <v>219</v>
      </c>
      <c r="D643" s="3"/>
      <c r="E643" s="3" t="s">
        <v>219</v>
      </c>
      <c r="F643" s="3"/>
      <c r="G643" s="3"/>
      <c r="H643" s="3"/>
      <c r="I643" s="3"/>
      <c r="J643" s="3"/>
      <c r="K643" s="3"/>
      <c r="L643" s="3" t="s">
        <v>90</v>
      </c>
      <c r="M643" s="3">
        <v>30</v>
      </c>
      <c r="N643" s="3" t="s">
        <v>110</v>
      </c>
      <c r="O643" s="3"/>
      <c r="P643" s="3"/>
      <c r="Q643" s="3">
        <v>1.8540000000000001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89</v>
      </c>
      <c r="C644" s="3" t="s">
        <v>219</v>
      </c>
      <c r="D644" s="3"/>
      <c r="E644" s="3" t="s">
        <v>219</v>
      </c>
      <c r="F644" s="3"/>
      <c r="G644" s="3"/>
      <c r="H644" s="3"/>
      <c r="I644" s="3"/>
      <c r="J644" s="3"/>
      <c r="K644" s="3"/>
      <c r="L644" s="3" t="s">
        <v>90</v>
      </c>
      <c r="M644" s="3">
        <v>40</v>
      </c>
      <c r="N644" s="3" t="s">
        <v>105</v>
      </c>
      <c r="O644" s="3"/>
      <c r="P644" s="3"/>
      <c r="Q644" s="3">
        <v>0.53200000000000003</v>
      </c>
      <c r="R644" s="3" t="s">
        <v>106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89</v>
      </c>
      <c r="C645" s="3" t="s">
        <v>219</v>
      </c>
      <c r="D645" s="3"/>
      <c r="E645" s="3" t="s">
        <v>219</v>
      </c>
      <c r="F645" s="3"/>
      <c r="G645" s="3"/>
      <c r="H645" s="3"/>
      <c r="I645" s="3"/>
      <c r="J645" s="3"/>
      <c r="K645" s="3"/>
      <c r="L645" s="3" t="s">
        <v>90</v>
      </c>
      <c r="M645" s="3">
        <v>50</v>
      </c>
      <c r="N645" s="3" t="s">
        <v>107</v>
      </c>
      <c r="O645" s="3"/>
      <c r="P645" s="3"/>
      <c r="Q645" s="3">
        <v>15.342000000000001</v>
      </c>
      <c r="R645" s="3" t="s">
        <v>15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89</v>
      </c>
      <c r="C646" s="3" t="s">
        <v>219</v>
      </c>
      <c r="D646" s="3"/>
      <c r="E646" s="3" t="s">
        <v>219</v>
      </c>
      <c r="F646" s="3"/>
      <c r="G646" s="3"/>
      <c r="H646" s="3"/>
      <c r="I646" s="3"/>
      <c r="J646" s="3"/>
      <c r="K646" s="3"/>
      <c r="L646" s="3" t="s">
        <v>90</v>
      </c>
      <c r="M646" s="3">
        <v>60</v>
      </c>
      <c r="N646" s="3" t="s">
        <v>18</v>
      </c>
      <c r="O646" s="3"/>
      <c r="P646" s="3"/>
      <c r="Q646" s="3">
        <v>94.350999999999999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89</v>
      </c>
      <c r="C647" s="3" t="s">
        <v>219</v>
      </c>
      <c r="D647" s="3"/>
      <c r="E647" s="3" t="s">
        <v>219</v>
      </c>
      <c r="F647" s="3"/>
      <c r="G647" s="3"/>
      <c r="H647" s="3"/>
      <c r="I647" s="3"/>
      <c r="J647" s="3"/>
      <c r="K647" s="3"/>
      <c r="L647" s="3" t="s">
        <v>90</v>
      </c>
      <c r="M647" s="3">
        <v>70</v>
      </c>
      <c r="N647" s="3" t="s">
        <v>113</v>
      </c>
      <c r="O647" s="3"/>
      <c r="P647" s="3"/>
      <c r="Q647" s="3">
        <v>4</v>
      </c>
      <c r="R647" s="3" t="s">
        <v>11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89</v>
      </c>
      <c r="C648" s="3" t="s">
        <v>219</v>
      </c>
      <c r="D648" s="3"/>
      <c r="E648" s="3" t="s">
        <v>219</v>
      </c>
      <c r="F648" s="3"/>
      <c r="G648" s="3"/>
      <c r="H648" s="3"/>
      <c r="I648" s="3"/>
      <c r="J648" s="3"/>
      <c r="K648" s="3"/>
      <c r="L648" s="3" t="s">
        <v>90</v>
      </c>
      <c r="M648" s="3">
        <v>80</v>
      </c>
      <c r="N648" s="3" t="s">
        <v>21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89</v>
      </c>
      <c r="C649" s="3" t="s">
        <v>219</v>
      </c>
      <c r="D649" s="3"/>
      <c r="E649" s="3" t="s">
        <v>219</v>
      </c>
      <c r="F649" s="3"/>
      <c r="G649" s="3"/>
      <c r="H649" s="3"/>
      <c r="I649" s="3"/>
      <c r="J649" s="3"/>
      <c r="K649" s="3"/>
      <c r="L649" s="3" t="s">
        <v>90</v>
      </c>
      <c r="M649" s="3">
        <v>90</v>
      </c>
      <c r="N649" s="3" t="s">
        <v>22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89</v>
      </c>
      <c r="C650" s="3" t="s">
        <v>219</v>
      </c>
      <c r="D650" s="3"/>
      <c r="E650" s="3" t="s">
        <v>219</v>
      </c>
      <c r="F650" s="3"/>
      <c r="G650" s="3"/>
      <c r="H650" s="3"/>
      <c r="I650" s="3"/>
      <c r="J650" s="3"/>
      <c r="K650" s="3"/>
      <c r="L650" s="3" t="s">
        <v>90</v>
      </c>
      <c r="M650" s="3">
        <v>100</v>
      </c>
      <c r="N650" s="3" t="s">
        <v>23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89</v>
      </c>
      <c r="C651" s="3" t="s">
        <v>219</v>
      </c>
      <c r="D651" s="3"/>
      <c r="E651" s="3" t="s">
        <v>219</v>
      </c>
      <c r="F651" s="3"/>
      <c r="G651" s="3"/>
      <c r="H651" s="3"/>
      <c r="I651" s="3"/>
      <c r="J651" s="3"/>
      <c r="K651" s="3"/>
      <c r="L651" s="3" t="s">
        <v>90</v>
      </c>
      <c r="M651" s="3">
        <v>110</v>
      </c>
      <c r="N651" s="3" t="s">
        <v>111</v>
      </c>
      <c r="O651" s="3"/>
      <c r="P651" s="3"/>
      <c r="Q651" s="3">
        <v>1.1080000000000001</v>
      </c>
      <c r="R651" s="3" t="s">
        <v>13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89</v>
      </c>
      <c r="C652" s="3" t="s">
        <v>219</v>
      </c>
      <c r="D652" s="3"/>
      <c r="E652" s="3" t="s">
        <v>219</v>
      </c>
      <c r="F652" s="3"/>
      <c r="G652" s="3"/>
      <c r="H652" s="3"/>
      <c r="I652" s="3"/>
      <c r="J652" s="3"/>
      <c r="K652" s="3"/>
      <c r="L652" s="3" t="s">
        <v>90</v>
      </c>
      <c r="M652" s="3">
        <v>120</v>
      </c>
      <c r="N652" s="3" t="s">
        <v>220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89</v>
      </c>
      <c r="C653" s="3" t="s">
        <v>221</v>
      </c>
      <c r="D653" s="3"/>
      <c r="E653" s="3" t="s">
        <v>221</v>
      </c>
      <c r="F653" s="3"/>
      <c r="G653" s="3"/>
      <c r="H653" s="3"/>
      <c r="I653" s="3"/>
      <c r="J653" s="3"/>
      <c r="K653" s="3"/>
      <c r="L653" s="3" t="s">
        <v>90</v>
      </c>
      <c r="M653" s="3">
        <v>10</v>
      </c>
      <c r="N653" s="3" t="s">
        <v>317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89</v>
      </c>
      <c r="C654" s="3" t="s">
        <v>221</v>
      </c>
      <c r="D654" s="3"/>
      <c r="E654" s="3" t="s">
        <v>221</v>
      </c>
      <c r="F654" s="3"/>
      <c r="G654" s="3"/>
      <c r="H654" s="3"/>
      <c r="I654" s="3"/>
      <c r="J654" s="3"/>
      <c r="K654" s="3"/>
      <c r="L654" s="3" t="s">
        <v>90</v>
      </c>
      <c r="M654" s="3">
        <v>20</v>
      </c>
      <c r="N654" s="3" t="s">
        <v>109</v>
      </c>
      <c r="O654" s="3"/>
      <c r="P654" s="3"/>
      <c r="Q654" s="3">
        <v>0.78700000000000003</v>
      </c>
      <c r="R654" s="3" t="s">
        <v>15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89</v>
      </c>
      <c r="C655" s="3" t="s">
        <v>221</v>
      </c>
      <c r="D655" s="3"/>
      <c r="E655" s="3" t="s">
        <v>221</v>
      </c>
      <c r="F655" s="3"/>
      <c r="G655" s="3"/>
      <c r="H655" s="3"/>
      <c r="I655" s="3"/>
      <c r="J655" s="3"/>
      <c r="K655" s="3"/>
      <c r="L655" s="3" t="s">
        <v>90</v>
      </c>
      <c r="M655" s="3">
        <v>30</v>
      </c>
      <c r="N655" s="3" t="s">
        <v>110</v>
      </c>
      <c r="O655" s="3"/>
      <c r="P655" s="3"/>
      <c r="Q655" s="3">
        <v>0.78700000000000003</v>
      </c>
      <c r="R655" s="3" t="s">
        <v>15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89</v>
      </c>
      <c r="C656" s="3" t="s">
        <v>221</v>
      </c>
      <c r="D656" s="3"/>
      <c r="E656" s="3" t="s">
        <v>221</v>
      </c>
      <c r="F656" s="3"/>
      <c r="G656" s="3"/>
      <c r="H656" s="3"/>
      <c r="I656" s="3"/>
      <c r="J656" s="3"/>
      <c r="K656" s="3"/>
      <c r="L656" s="3" t="s">
        <v>90</v>
      </c>
      <c r="M656" s="3">
        <v>40</v>
      </c>
      <c r="N656" s="3" t="s">
        <v>105</v>
      </c>
      <c r="O656" s="3"/>
      <c r="P656" s="3"/>
      <c r="Q656" s="3">
        <v>0.22600000000000001</v>
      </c>
      <c r="R656" s="3" t="s">
        <v>106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89</v>
      </c>
      <c r="C657" s="3" t="s">
        <v>221</v>
      </c>
      <c r="D657" s="3"/>
      <c r="E657" s="3" t="s">
        <v>221</v>
      </c>
      <c r="F657" s="3"/>
      <c r="G657" s="3"/>
      <c r="H657" s="3"/>
      <c r="I657" s="3"/>
      <c r="J657" s="3"/>
      <c r="K657" s="3"/>
      <c r="L657" s="3" t="s">
        <v>90</v>
      </c>
      <c r="M657" s="3">
        <v>50</v>
      </c>
      <c r="N657" s="3" t="s">
        <v>107</v>
      </c>
      <c r="O657" s="3"/>
      <c r="P657" s="3"/>
      <c r="Q657" s="3">
        <v>11.379</v>
      </c>
      <c r="R657" s="3" t="s">
        <v>15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89</v>
      </c>
      <c r="C658" s="3" t="s">
        <v>221</v>
      </c>
      <c r="D658" s="3"/>
      <c r="E658" s="3" t="s">
        <v>221</v>
      </c>
      <c r="F658" s="3"/>
      <c r="G658" s="3"/>
      <c r="H658" s="3"/>
      <c r="I658" s="3"/>
      <c r="J658" s="3"/>
      <c r="K658" s="3"/>
      <c r="L658" s="3" t="s">
        <v>90</v>
      </c>
      <c r="M658" s="3">
        <v>60</v>
      </c>
      <c r="N658" s="3" t="s">
        <v>18</v>
      </c>
      <c r="O658" s="3"/>
      <c r="P658" s="3"/>
      <c r="Q658" s="3">
        <v>69.981999999999999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89</v>
      </c>
      <c r="C659" s="3" t="s">
        <v>221</v>
      </c>
      <c r="D659" s="3"/>
      <c r="E659" s="3" t="s">
        <v>221</v>
      </c>
      <c r="F659" s="3"/>
      <c r="G659" s="3"/>
      <c r="H659" s="3"/>
      <c r="I659" s="3"/>
      <c r="J659" s="3"/>
      <c r="K659" s="3"/>
      <c r="L659" s="3" t="s">
        <v>90</v>
      </c>
      <c r="M659" s="3">
        <v>70</v>
      </c>
      <c r="N659" s="3" t="s">
        <v>113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89</v>
      </c>
      <c r="C660" s="3" t="s">
        <v>221</v>
      </c>
      <c r="D660" s="3"/>
      <c r="E660" s="3" t="s">
        <v>221</v>
      </c>
      <c r="F660" s="3"/>
      <c r="G660" s="3"/>
      <c r="H660" s="3"/>
      <c r="I660" s="3"/>
      <c r="J660" s="3"/>
      <c r="K660" s="3"/>
      <c r="L660" s="3" t="s">
        <v>90</v>
      </c>
      <c r="M660" s="3">
        <v>80</v>
      </c>
      <c r="N660" s="3" t="s">
        <v>21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89</v>
      </c>
      <c r="C661" s="3" t="s">
        <v>221</v>
      </c>
      <c r="D661" s="3"/>
      <c r="E661" s="3" t="s">
        <v>221</v>
      </c>
      <c r="F661" s="3"/>
      <c r="G661" s="3"/>
      <c r="H661" s="3"/>
      <c r="I661" s="3"/>
      <c r="J661" s="3"/>
      <c r="K661" s="3"/>
      <c r="L661" s="3" t="s">
        <v>90</v>
      </c>
      <c r="M661" s="3">
        <v>90</v>
      </c>
      <c r="N661" s="3" t="s">
        <v>22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89</v>
      </c>
      <c r="C662" s="3" t="s">
        <v>221</v>
      </c>
      <c r="D662" s="3"/>
      <c r="E662" s="3" t="s">
        <v>221</v>
      </c>
      <c r="F662" s="3"/>
      <c r="G662" s="3"/>
      <c r="H662" s="3"/>
      <c r="I662" s="3"/>
      <c r="J662" s="3"/>
      <c r="K662" s="3"/>
      <c r="L662" s="3" t="s">
        <v>90</v>
      </c>
      <c r="M662" s="3">
        <v>100</v>
      </c>
      <c r="N662" s="3" t="s">
        <v>23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89</v>
      </c>
      <c r="C663" s="3" t="s">
        <v>221</v>
      </c>
      <c r="D663" s="3"/>
      <c r="E663" s="3" t="s">
        <v>221</v>
      </c>
      <c r="F663" s="3"/>
      <c r="G663" s="3"/>
      <c r="H663" s="3"/>
      <c r="I663" s="3"/>
      <c r="J663" s="3"/>
      <c r="K663" s="3"/>
      <c r="L663" s="3" t="s">
        <v>90</v>
      </c>
      <c r="M663" s="3">
        <v>110</v>
      </c>
      <c r="N663" s="3" t="s">
        <v>111</v>
      </c>
      <c r="O663" s="3"/>
      <c r="P663" s="3"/>
      <c r="Q663" s="3">
        <v>0.54</v>
      </c>
      <c r="R663" s="3" t="s">
        <v>13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89</v>
      </c>
      <c r="C664" s="3" t="s">
        <v>221</v>
      </c>
      <c r="D664" s="3"/>
      <c r="E664" s="3" t="s">
        <v>221</v>
      </c>
      <c r="F664" s="3"/>
      <c r="G664" s="3"/>
      <c r="H664" s="3"/>
      <c r="I664" s="3"/>
      <c r="J664" s="3"/>
      <c r="K664" s="3"/>
      <c r="L664" s="3" t="s">
        <v>90</v>
      </c>
      <c r="M664" s="3">
        <v>120</v>
      </c>
      <c r="N664" s="3" t="s">
        <v>222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89</v>
      </c>
      <c r="C665" s="3" t="s">
        <v>223</v>
      </c>
      <c r="D665" s="3"/>
      <c r="E665" s="3" t="s">
        <v>223</v>
      </c>
      <c r="F665" s="3"/>
      <c r="G665" s="3"/>
      <c r="H665" s="3"/>
      <c r="I665" s="3"/>
      <c r="J665" s="3"/>
      <c r="K665" s="3"/>
      <c r="L665" s="3" t="s">
        <v>90</v>
      </c>
      <c r="M665" s="3">
        <v>10</v>
      </c>
      <c r="N665" s="3" t="s">
        <v>318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89</v>
      </c>
      <c r="C666" s="3" t="s">
        <v>223</v>
      </c>
      <c r="D666" s="3"/>
      <c r="E666" s="3" t="s">
        <v>223</v>
      </c>
      <c r="F666" s="3"/>
      <c r="G666" s="3"/>
      <c r="H666" s="3"/>
      <c r="I666" s="3"/>
      <c r="J666" s="3"/>
      <c r="K666" s="3"/>
      <c r="L666" s="3" t="s">
        <v>90</v>
      </c>
      <c r="M666" s="3">
        <v>20</v>
      </c>
      <c r="N666" s="3" t="s">
        <v>109</v>
      </c>
      <c r="O666" s="3"/>
      <c r="P666" s="3"/>
      <c r="Q666" s="3">
        <v>0.94</v>
      </c>
      <c r="R666" s="3" t="s">
        <v>15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89</v>
      </c>
      <c r="C667" s="3" t="s">
        <v>223</v>
      </c>
      <c r="D667" s="3"/>
      <c r="E667" s="3" t="s">
        <v>223</v>
      </c>
      <c r="F667" s="3"/>
      <c r="G667" s="3"/>
      <c r="H667" s="3"/>
      <c r="I667" s="3"/>
      <c r="J667" s="3"/>
      <c r="K667" s="3"/>
      <c r="L667" s="3" t="s">
        <v>90</v>
      </c>
      <c r="M667" s="3">
        <v>30</v>
      </c>
      <c r="N667" s="3" t="s">
        <v>110</v>
      </c>
      <c r="O667" s="3"/>
      <c r="P667" s="3"/>
      <c r="Q667" s="3">
        <v>0.94</v>
      </c>
      <c r="R667" s="3" t="s">
        <v>15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89</v>
      </c>
      <c r="C668" s="3" t="s">
        <v>223</v>
      </c>
      <c r="D668" s="3"/>
      <c r="E668" s="3" t="s">
        <v>223</v>
      </c>
      <c r="F668" s="3"/>
      <c r="G668" s="3"/>
      <c r="H668" s="3"/>
      <c r="I668" s="3"/>
      <c r="J668" s="3"/>
      <c r="K668" s="3"/>
      <c r="L668" s="3" t="s">
        <v>90</v>
      </c>
      <c r="M668" s="3">
        <v>40</v>
      </c>
      <c r="N668" s="3" t="s">
        <v>105</v>
      </c>
      <c r="O668" s="3"/>
      <c r="P668" s="3"/>
      <c r="Q668" s="3">
        <v>0.27300000000000002</v>
      </c>
      <c r="R668" s="3" t="s">
        <v>106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89</v>
      </c>
      <c r="C669" s="3" t="s">
        <v>223</v>
      </c>
      <c r="D669" s="3"/>
      <c r="E669" s="3" t="s">
        <v>223</v>
      </c>
      <c r="F669" s="3"/>
      <c r="G669" s="3"/>
      <c r="H669" s="3"/>
      <c r="I669" s="3"/>
      <c r="J669" s="3"/>
      <c r="K669" s="3"/>
      <c r="L669" s="3" t="s">
        <v>90</v>
      </c>
      <c r="M669" s="3">
        <v>50</v>
      </c>
      <c r="N669" s="3" t="s">
        <v>107</v>
      </c>
      <c r="O669" s="3"/>
      <c r="P669" s="3"/>
      <c r="Q669" s="3">
        <v>11.989000000000001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89</v>
      </c>
      <c r="C670" s="3" t="s">
        <v>223</v>
      </c>
      <c r="D670" s="3"/>
      <c r="E670" s="3" t="s">
        <v>223</v>
      </c>
      <c r="F670" s="3"/>
      <c r="G670" s="3"/>
      <c r="H670" s="3"/>
      <c r="I670" s="3"/>
      <c r="J670" s="3"/>
      <c r="K670" s="3"/>
      <c r="L670" s="3" t="s">
        <v>90</v>
      </c>
      <c r="M670" s="3">
        <v>60</v>
      </c>
      <c r="N670" s="3" t="s">
        <v>18</v>
      </c>
      <c r="O670" s="3"/>
      <c r="P670" s="3"/>
      <c r="Q670" s="3">
        <v>73.730999999999995</v>
      </c>
      <c r="R670" s="3" t="s">
        <v>15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89</v>
      </c>
      <c r="C671" s="3" t="s">
        <v>223</v>
      </c>
      <c r="D671" s="3"/>
      <c r="E671" s="3" t="s">
        <v>223</v>
      </c>
      <c r="F671" s="3"/>
      <c r="G671" s="3"/>
      <c r="H671" s="3"/>
      <c r="I671" s="3"/>
      <c r="J671" s="3"/>
      <c r="K671" s="3"/>
      <c r="L671" s="3" t="s">
        <v>90</v>
      </c>
      <c r="M671" s="3">
        <v>70</v>
      </c>
      <c r="N671" s="3" t="s">
        <v>113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89</v>
      </c>
      <c r="C672" s="3" t="s">
        <v>223</v>
      </c>
      <c r="D672" s="3"/>
      <c r="E672" s="3" t="s">
        <v>223</v>
      </c>
      <c r="F672" s="3"/>
      <c r="G672" s="3"/>
      <c r="H672" s="3"/>
      <c r="I672" s="3"/>
      <c r="J672" s="3"/>
      <c r="K672" s="3"/>
      <c r="L672" s="3" t="s">
        <v>90</v>
      </c>
      <c r="M672" s="3">
        <v>80</v>
      </c>
      <c r="N672" s="3" t="s">
        <v>21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89</v>
      </c>
      <c r="C673" s="3" t="s">
        <v>223</v>
      </c>
      <c r="D673" s="3"/>
      <c r="E673" s="3" t="s">
        <v>223</v>
      </c>
      <c r="F673" s="3"/>
      <c r="G673" s="3"/>
      <c r="H673" s="3"/>
      <c r="I673" s="3"/>
      <c r="J673" s="3"/>
      <c r="K673" s="3"/>
      <c r="L673" s="3" t="s">
        <v>90</v>
      </c>
      <c r="M673" s="3">
        <v>90</v>
      </c>
      <c r="N673" s="3" t="s">
        <v>22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89</v>
      </c>
      <c r="C674" s="3" t="s">
        <v>223</v>
      </c>
      <c r="D674" s="3"/>
      <c r="E674" s="3" t="s">
        <v>223</v>
      </c>
      <c r="F674" s="3"/>
      <c r="G674" s="3"/>
      <c r="H674" s="3"/>
      <c r="I674" s="3"/>
      <c r="J674" s="3"/>
      <c r="K674" s="3"/>
      <c r="L674" s="3" t="s">
        <v>90</v>
      </c>
      <c r="M674" s="3">
        <v>100</v>
      </c>
      <c r="N674" s="3" t="s">
        <v>23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89</v>
      </c>
      <c r="C675" s="3" t="s">
        <v>223</v>
      </c>
      <c r="D675" s="3"/>
      <c r="E675" s="3" t="s">
        <v>223</v>
      </c>
      <c r="F675" s="3"/>
      <c r="G675" s="3"/>
      <c r="H675" s="3"/>
      <c r="I675" s="3"/>
      <c r="J675" s="3"/>
      <c r="K675" s="3"/>
      <c r="L675" s="3" t="s">
        <v>90</v>
      </c>
      <c r="M675" s="3">
        <v>110</v>
      </c>
      <c r="N675" s="3" t="s">
        <v>111</v>
      </c>
      <c r="O675" s="3"/>
      <c r="P675" s="3"/>
      <c r="Q675" s="3">
        <v>0.622</v>
      </c>
      <c r="R675" s="3" t="s">
        <v>13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89</v>
      </c>
      <c r="C676" s="3" t="s">
        <v>223</v>
      </c>
      <c r="D676" s="3"/>
      <c r="E676" s="3" t="s">
        <v>223</v>
      </c>
      <c r="F676" s="3"/>
      <c r="G676" s="3"/>
      <c r="H676" s="3"/>
      <c r="I676" s="3"/>
      <c r="J676" s="3"/>
      <c r="K676" s="3"/>
      <c r="L676" s="3" t="s">
        <v>90</v>
      </c>
      <c r="M676" s="3">
        <v>120</v>
      </c>
      <c r="N676" s="3" t="s">
        <v>224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89</v>
      </c>
      <c r="C677" s="3" t="s">
        <v>225</v>
      </c>
      <c r="D677" s="3"/>
      <c r="E677" s="3" t="s">
        <v>225</v>
      </c>
      <c r="F677" s="3"/>
      <c r="G677" s="3"/>
      <c r="H677" s="3"/>
      <c r="I677" s="3"/>
      <c r="J677" s="3"/>
      <c r="K677" s="3"/>
      <c r="L677" s="3" t="s">
        <v>90</v>
      </c>
      <c r="M677" s="3">
        <v>10</v>
      </c>
      <c r="N677" s="3" t="s">
        <v>319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16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89</v>
      </c>
      <c r="C678" s="3" t="s">
        <v>225</v>
      </c>
      <c r="D678" s="3"/>
      <c r="E678" s="3" t="s">
        <v>225</v>
      </c>
      <c r="F678" s="3"/>
      <c r="G678" s="3"/>
      <c r="H678" s="3"/>
      <c r="I678" s="3"/>
      <c r="J678" s="3"/>
      <c r="K678" s="3"/>
      <c r="L678" s="3" t="s">
        <v>90</v>
      </c>
      <c r="M678" s="3">
        <v>20</v>
      </c>
      <c r="N678" s="3" t="s">
        <v>109</v>
      </c>
      <c r="O678" s="3"/>
      <c r="P678" s="3"/>
      <c r="Q678" s="3">
        <v>1.0920000000000001</v>
      </c>
      <c r="R678" s="3" t="s">
        <v>15</v>
      </c>
      <c r="S678" s="3"/>
      <c r="T678" s="3">
        <v>10</v>
      </c>
      <c r="U678" s="3"/>
      <c r="V678" s="3" t="s">
        <v>16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89</v>
      </c>
      <c r="C679" s="3" t="s">
        <v>225</v>
      </c>
      <c r="D679" s="3"/>
      <c r="E679" s="3" t="s">
        <v>225</v>
      </c>
      <c r="F679" s="3"/>
      <c r="G679" s="3"/>
      <c r="H679" s="3"/>
      <c r="I679" s="3"/>
      <c r="J679" s="3"/>
      <c r="K679" s="3"/>
      <c r="L679" s="3" t="s">
        <v>90</v>
      </c>
      <c r="M679" s="3">
        <v>30</v>
      </c>
      <c r="N679" s="3" t="s">
        <v>110</v>
      </c>
      <c r="O679" s="3"/>
      <c r="P679" s="3"/>
      <c r="Q679" s="3">
        <v>1.0920000000000001</v>
      </c>
      <c r="R679" s="3" t="s">
        <v>15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89</v>
      </c>
      <c r="C680" s="3" t="s">
        <v>225</v>
      </c>
      <c r="D680" s="3"/>
      <c r="E680" s="3" t="s">
        <v>225</v>
      </c>
      <c r="F680" s="3"/>
      <c r="G680" s="3"/>
      <c r="H680" s="3"/>
      <c r="I680" s="3"/>
      <c r="J680" s="3"/>
      <c r="K680" s="3"/>
      <c r="L680" s="3" t="s">
        <v>90</v>
      </c>
      <c r="M680" s="3">
        <v>40</v>
      </c>
      <c r="N680" s="3" t="s">
        <v>105</v>
      </c>
      <c r="O680" s="3"/>
      <c r="P680" s="3"/>
      <c r="Q680" s="3">
        <v>0.32</v>
      </c>
      <c r="R680" s="3" t="s">
        <v>106</v>
      </c>
      <c r="S680" s="3"/>
      <c r="T680" s="3">
        <v>10</v>
      </c>
      <c r="U680" s="3"/>
      <c r="V680" s="3" t="s">
        <v>14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89</v>
      </c>
      <c r="C681" s="3" t="s">
        <v>225</v>
      </c>
      <c r="D681" s="3"/>
      <c r="E681" s="3" t="s">
        <v>225</v>
      </c>
      <c r="F681" s="3"/>
      <c r="G681" s="3"/>
      <c r="H681" s="3"/>
      <c r="I681" s="3"/>
      <c r="J681" s="3"/>
      <c r="K681" s="3"/>
      <c r="L681" s="3" t="s">
        <v>90</v>
      </c>
      <c r="M681" s="3">
        <v>50</v>
      </c>
      <c r="N681" s="3" t="s">
        <v>107</v>
      </c>
      <c r="O681" s="3"/>
      <c r="P681" s="3"/>
      <c r="Q681" s="3">
        <v>12.598000000000001</v>
      </c>
      <c r="R681" s="3" t="s">
        <v>15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89</v>
      </c>
      <c r="C682" s="3" t="s">
        <v>225</v>
      </c>
      <c r="D682" s="3"/>
      <c r="E682" s="3" t="s">
        <v>225</v>
      </c>
      <c r="F682" s="3"/>
      <c r="G682" s="3"/>
      <c r="H682" s="3"/>
      <c r="I682" s="3"/>
      <c r="J682" s="3"/>
      <c r="K682" s="3"/>
      <c r="L682" s="3" t="s">
        <v>90</v>
      </c>
      <c r="M682" s="3">
        <v>60</v>
      </c>
      <c r="N682" s="3" t="s">
        <v>18</v>
      </c>
      <c r="O682" s="3"/>
      <c r="P682" s="3"/>
      <c r="Q682" s="3">
        <v>77.48</v>
      </c>
      <c r="R682" s="3" t="s">
        <v>15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89</v>
      </c>
      <c r="C683" s="3" t="s">
        <v>225</v>
      </c>
      <c r="D683" s="3"/>
      <c r="E683" s="3" t="s">
        <v>225</v>
      </c>
      <c r="F683" s="3"/>
      <c r="G683" s="3"/>
      <c r="H683" s="3"/>
      <c r="I683" s="3"/>
      <c r="J683" s="3"/>
      <c r="K683" s="3"/>
      <c r="L683" s="3" t="s">
        <v>90</v>
      </c>
      <c r="M683" s="3">
        <v>70</v>
      </c>
      <c r="N683" s="3" t="s">
        <v>113</v>
      </c>
      <c r="O683" s="3"/>
      <c r="P683" s="3"/>
      <c r="Q683" s="3">
        <v>4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89</v>
      </c>
      <c r="C684" s="3" t="s">
        <v>225</v>
      </c>
      <c r="D684" s="3"/>
      <c r="E684" s="3" t="s">
        <v>225</v>
      </c>
      <c r="F684" s="3"/>
      <c r="G684" s="3"/>
      <c r="H684" s="3"/>
      <c r="I684" s="3"/>
      <c r="J684" s="3"/>
      <c r="K684" s="3"/>
      <c r="L684" s="3" t="s">
        <v>90</v>
      </c>
      <c r="M684" s="3">
        <v>80</v>
      </c>
      <c r="N684" s="3" t="s">
        <v>21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89</v>
      </c>
      <c r="C685" s="3" t="s">
        <v>225</v>
      </c>
      <c r="D685" s="3"/>
      <c r="E685" s="3" t="s">
        <v>225</v>
      </c>
      <c r="F685" s="3"/>
      <c r="G685" s="3"/>
      <c r="H685" s="3"/>
      <c r="I685" s="3"/>
      <c r="J685" s="3"/>
      <c r="K685" s="3"/>
      <c r="L685" s="3" t="s">
        <v>90</v>
      </c>
      <c r="M685" s="3">
        <v>90</v>
      </c>
      <c r="N685" s="3" t="s">
        <v>22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89</v>
      </c>
      <c r="C686" s="3" t="s">
        <v>225</v>
      </c>
      <c r="D686" s="3"/>
      <c r="E686" s="3" t="s">
        <v>225</v>
      </c>
      <c r="F686" s="3"/>
      <c r="G686" s="3"/>
      <c r="H686" s="3"/>
      <c r="I686" s="3"/>
      <c r="J686" s="3"/>
      <c r="K686" s="3"/>
      <c r="L686" s="3" t="s">
        <v>90</v>
      </c>
      <c r="M686" s="3">
        <v>100</v>
      </c>
      <c r="N686" s="3" t="s">
        <v>23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89</v>
      </c>
      <c r="C687" s="3" t="s">
        <v>225</v>
      </c>
      <c r="D687" s="3"/>
      <c r="E687" s="3" t="s">
        <v>225</v>
      </c>
      <c r="F687" s="3"/>
      <c r="G687" s="3"/>
      <c r="H687" s="3"/>
      <c r="I687" s="3"/>
      <c r="J687" s="3"/>
      <c r="K687" s="3"/>
      <c r="L687" s="3" t="s">
        <v>90</v>
      </c>
      <c r="M687" s="3">
        <v>110</v>
      </c>
      <c r="N687" s="3" t="s">
        <v>111</v>
      </c>
      <c r="O687" s="3"/>
      <c r="P687" s="3"/>
      <c r="Q687" s="3">
        <v>0.70299999999999996</v>
      </c>
      <c r="R687" s="3" t="s">
        <v>13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89</v>
      </c>
      <c r="C688" s="3" t="s">
        <v>225</v>
      </c>
      <c r="D688" s="3"/>
      <c r="E688" s="3" t="s">
        <v>225</v>
      </c>
      <c r="F688" s="3"/>
      <c r="G688" s="3"/>
      <c r="H688" s="3"/>
      <c r="I688" s="3"/>
      <c r="J688" s="3"/>
      <c r="K688" s="3"/>
      <c r="L688" s="3" t="s">
        <v>90</v>
      </c>
      <c r="M688" s="3">
        <v>120</v>
      </c>
      <c r="N688" s="3" t="s">
        <v>226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16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89</v>
      </c>
      <c r="C689" s="3" t="s">
        <v>227</v>
      </c>
      <c r="D689" s="3"/>
      <c r="E689" s="3" t="s">
        <v>227</v>
      </c>
      <c r="F689" s="3"/>
      <c r="G689" s="3"/>
      <c r="H689" s="3"/>
      <c r="I689" s="3"/>
      <c r="J689" s="3"/>
      <c r="K689" s="3"/>
      <c r="L689" s="3" t="s">
        <v>90</v>
      </c>
      <c r="M689" s="3">
        <v>10</v>
      </c>
      <c r="N689" s="3" t="s">
        <v>320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16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89</v>
      </c>
      <c r="C690" s="3" t="s">
        <v>227</v>
      </c>
      <c r="D690" s="3"/>
      <c r="E690" s="3" t="s">
        <v>227</v>
      </c>
      <c r="F690" s="3"/>
      <c r="G690" s="3"/>
      <c r="H690" s="3"/>
      <c r="I690" s="3"/>
      <c r="J690" s="3"/>
      <c r="K690" s="3"/>
      <c r="L690" s="3" t="s">
        <v>90</v>
      </c>
      <c r="M690" s="3">
        <v>20</v>
      </c>
      <c r="N690" s="3" t="s">
        <v>109</v>
      </c>
      <c r="O690" s="3"/>
      <c r="P690" s="3"/>
      <c r="Q690" s="3">
        <v>1.2450000000000001</v>
      </c>
      <c r="R690" s="3" t="s">
        <v>15</v>
      </c>
      <c r="S690" s="3"/>
      <c r="T690" s="3">
        <v>10</v>
      </c>
      <c r="U690" s="3"/>
      <c r="V690" s="3" t="s">
        <v>16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89</v>
      </c>
      <c r="C691" s="3" t="s">
        <v>227</v>
      </c>
      <c r="D691" s="3"/>
      <c r="E691" s="3" t="s">
        <v>227</v>
      </c>
      <c r="F691" s="3"/>
      <c r="G691" s="3"/>
      <c r="H691" s="3"/>
      <c r="I691" s="3"/>
      <c r="J691" s="3"/>
      <c r="K691" s="3"/>
      <c r="L691" s="3" t="s">
        <v>90</v>
      </c>
      <c r="M691" s="3">
        <v>30</v>
      </c>
      <c r="N691" s="3" t="s">
        <v>110</v>
      </c>
      <c r="O691" s="3"/>
      <c r="P691" s="3"/>
      <c r="Q691" s="3">
        <v>1.2450000000000001</v>
      </c>
      <c r="R691" s="3" t="s">
        <v>15</v>
      </c>
      <c r="S691" s="3"/>
      <c r="T691" s="3">
        <v>10</v>
      </c>
      <c r="U691" s="3"/>
      <c r="V691" s="3" t="s">
        <v>16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89</v>
      </c>
      <c r="C692" s="3" t="s">
        <v>227</v>
      </c>
      <c r="D692" s="3"/>
      <c r="E692" s="3" t="s">
        <v>227</v>
      </c>
      <c r="F692" s="3"/>
      <c r="G692" s="3"/>
      <c r="H692" s="3"/>
      <c r="I692" s="3"/>
      <c r="J692" s="3"/>
      <c r="K692" s="3"/>
      <c r="L692" s="3" t="s">
        <v>90</v>
      </c>
      <c r="M692" s="3">
        <v>40</v>
      </c>
      <c r="N692" s="3" t="s">
        <v>105</v>
      </c>
      <c r="O692" s="3"/>
      <c r="P692" s="3"/>
      <c r="Q692" s="3">
        <v>0.36599999999999999</v>
      </c>
      <c r="R692" s="3" t="s">
        <v>106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89</v>
      </c>
      <c r="C693" s="3" t="s">
        <v>227</v>
      </c>
      <c r="D693" s="3"/>
      <c r="E693" s="3" t="s">
        <v>227</v>
      </c>
      <c r="F693" s="3"/>
      <c r="G693" s="3"/>
      <c r="H693" s="3"/>
      <c r="I693" s="3"/>
      <c r="J693" s="3"/>
      <c r="K693" s="3"/>
      <c r="L693" s="3" t="s">
        <v>90</v>
      </c>
      <c r="M693" s="3">
        <v>50</v>
      </c>
      <c r="N693" s="3" t="s">
        <v>107</v>
      </c>
      <c r="O693" s="3"/>
      <c r="P693" s="3"/>
      <c r="Q693" s="3">
        <v>13.208</v>
      </c>
      <c r="R693" s="3" t="s">
        <v>15</v>
      </c>
      <c r="S693" s="3"/>
      <c r="T693" s="3">
        <v>10</v>
      </c>
      <c r="U693" s="3"/>
      <c r="V693" s="3" t="s">
        <v>14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89</v>
      </c>
      <c r="C694" s="3" t="s">
        <v>227</v>
      </c>
      <c r="D694" s="3"/>
      <c r="E694" s="3" t="s">
        <v>227</v>
      </c>
      <c r="F694" s="3"/>
      <c r="G694" s="3"/>
      <c r="H694" s="3"/>
      <c r="I694" s="3"/>
      <c r="J694" s="3"/>
      <c r="K694" s="3"/>
      <c r="L694" s="3" t="s">
        <v>90</v>
      </c>
      <c r="M694" s="3">
        <v>60</v>
      </c>
      <c r="N694" s="3" t="s">
        <v>18</v>
      </c>
      <c r="O694" s="3"/>
      <c r="P694" s="3"/>
      <c r="Q694" s="3">
        <v>81.228999999999999</v>
      </c>
      <c r="R694" s="3" t="s">
        <v>15</v>
      </c>
      <c r="S694" s="3"/>
      <c r="T694" s="3">
        <v>10</v>
      </c>
      <c r="U694" s="3"/>
      <c r="V694" s="3" t="s">
        <v>14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89</v>
      </c>
      <c r="C695" s="3" t="s">
        <v>227</v>
      </c>
      <c r="D695" s="3"/>
      <c r="E695" s="3" t="s">
        <v>227</v>
      </c>
      <c r="F695" s="3"/>
      <c r="G695" s="3"/>
      <c r="H695" s="3"/>
      <c r="I695" s="3"/>
      <c r="J695" s="3"/>
      <c r="K695" s="3"/>
      <c r="L695" s="3" t="s">
        <v>90</v>
      </c>
      <c r="M695" s="3">
        <v>70</v>
      </c>
      <c r="N695" s="3" t="s">
        <v>113</v>
      </c>
      <c r="O695" s="3"/>
      <c r="P695" s="3"/>
      <c r="Q695" s="3">
        <v>4</v>
      </c>
      <c r="R695" s="3" t="s">
        <v>11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89</v>
      </c>
      <c r="C696" s="3" t="s">
        <v>227</v>
      </c>
      <c r="D696" s="3"/>
      <c r="E696" s="3" t="s">
        <v>227</v>
      </c>
      <c r="F696" s="3"/>
      <c r="G696" s="3"/>
      <c r="H696" s="3"/>
      <c r="I696" s="3"/>
      <c r="J696" s="3"/>
      <c r="K696" s="3"/>
      <c r="L696" s="3" t="s">
        <v>90</v>
      </c>
      <c r="M696" s="3">
        <v>80</v>
      </c>
      <c r="N696" s="3" t="s">
        <v>21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89</v>
      </c>
      <c r="C697" s="3" t="s">
        <v>227</v>
      </c>
      <c r="D697" s="3"/>
      <c r="E697" s="3" t="s">
        <v>227</v>
      </c>
      <c r="F697" s="3"/>
      <c r="G697" s="3"/>
      <c r="H697" s="3"/>
      <c r="I697" s="3"/>
      <c r="J697" s="3"/>
      <c r="K697" s="3"/>
      <c r="L697" s="3" t="s">
        <v>90</v>
      </c>
      <c r="M697" s="3">
        <v>90</v>
      </c>
      <c r="N697" s="3" t="s">
        <v>22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89</v>
      </c>
      <c r="C698" s="3" t="s">
        <v>227</v>
      </c>
      <c r="D698" s="3"/>
      <c r="E698" s="3" t="s">
        <v>227</v>
      </c>
      <c r="F698" s="3"/>
      <c r="G698" s="3"/>
      <c r="H698" s="3"/>
      <c r="I698" s="3"/>
      <c r="J698" s="3"/>
      <c r="K698" s="3"/>
      <c r="L698" s="3" t="s">
        <v>90</v>
      </c>
      <c r="M698" s="3">
        <v>100</v>
      </c>
      <c r="N698" s="3" t="s">
        <v>23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89</v>
      </c>
      <c r="C699" s="3" t="s">
        <v>227</v>
      </c>
      <c r="D699" s="3"/>
      <c r="E699" s="3" t="s">
        <v>227</v>
      </c>
      <c r="F699" s="3"/>
      <c r="G699" s="3"/>
      <c r="H699" s="3"/>
      <c r="I699" s="3"/>
      <c r="J699" s="3"/>
      <c r="K699" s="3"/>
      <c r="L699" s="3" t="s">
        <v>90</v>
      </c>
      <c r="M699" s="3">
        <v>110</v>
      </c>
      <c r="N699" s="3" t="s">
        <v>111</v>
      </c>
      <c r="O699" s="3"/>
      <c r="P699" s="3"/>
      <c r="Q699" s="3">
        <v>0.78400000000000003</v>
      </c>
      <c r="R699" s="3" t="s">
        <v>13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89</v>
      </c>
      <c r="C700" s="3" t="s">
        <v>227</v>
      </c>
      <c r="D700" s="3"/>
      <c r="E700" s="3" t="s">
        <v>227</v>
      </c>
      <c r="F700" s="3"/>
      <c r="G700" s="3"/>
      <c r="H700" s="3"/>
      <c r="I700" s="3"/>
      <c r="J700" s="3"/>
      <c r="K700" s="3"/>
      <c r="L700" s="3" t="s">
        <v>90</v>
      </c>
      <c r="M700" s="3">
        <v>120</v>
      </c>
      <c r="N700" s="3" t="s">
        <v>228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16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89</v>
      </c>
      <c r="C701" s="3" t="s">
        <v>229</v>
      </c>
      <c r="D701" s="3"/>
      <c r="E701" s="3" t="s">
        <v>229</v>
      </c>
      <c r="F701" s="3"/>
      <c r="G701" s="3"/>
      <c r="H701" s="3"/>
      <c r="I701" s="3"/>
      <c r="J701" s="3"/>
      <c r="K701" s="3"/>
      <c r="L701" s="3" t="s">
        <v>90</v>
      </c>
      <c r="M701" s="3">
        <v>10</v>
      </c>
      <c r="N701" s="3" t="s">
        <v>321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16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89</v>
      </c>
      <c r="C702" s="3" t="s">
        <v>229</v>
      </c>
      <c r="D702" s="3"/>
      <c r="E702" s="3" t="s">
        <v>229</v>
      </c>
      <c r="F702" s="3"/>
      <c r="G702" s="3"/>
      <c r="H702" s="3"/>
      <c r="I702" s="3"/>
      <c r="J702" s="3"/>
      <c r="K702" s="3"/>
      <c r="L702" s="3" t="s">
        <v>90</v>
      </c>
      <c r="M702" s="3">
        <v>20</v>
      </c>
      <c r="N702" s="3" t="s">
        <v>109</v>
      </c>
      <c r="O702" s="3"/>
      <c r="P702" s="3"/>
      <c r="Q702" s="3">
        <v>1.5489999999999999</v>
      </c>
      <c r="R702" s="3" t="s">
        <v>15</v>
      </c>
      <c r="S702" s="3"/>
      <c r="T702" s="3">
        <v>10</v>
      </c>
      <c r="U702" s="3"/>
      <c r="V702" s="3" t="s">
        <v>16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89</v>
      </c>
      <c r="C703" s="3" t="s">
        <v>229</v>
      </c>
      <c r="D703" s="3"/>
      <c r="E703" s="3" t="s">
        <v>229</v>
      </c>
      <c r="F703" s="3"/>
      <c r="G703" s="3"/>
      <c r="H703" s="3"/>
      <c r="I703" s="3"/>
      <c r="J703" s="3"/>
      <c r="K703" s="3"/>
      <c r="L703" s="3" t="s">
        <v>90</v>
      </c>
      <c r="M703" s="3">
        <v>30</v>
      </c>
      <c r="N703" s="3" t="s">
        <v>110</v>
      </c>
      <c r="O703" s="3"/>
      <c r="P703" s="3"/>
      <c r="Q703" s="3">
        <v>1.5489999999999999</v>
      </c>
      <c r="R703" s="3" t="s">
        <v>15</v>
      </c>
      <c r="S703" s="3"/>
      <c r="T703" s="3">
        <v>10</v>
      </c>
      <c r="U703" s="3"/>
      <c r="V703" s="3" t="s">
        <v>16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89</v>
      </c>
      <c r="C704" s="3" t="s">
        <v>229</v>
      </c>
      <c r="D704" s="3"/>
      <c r="E704" s="3" t="s">
        <v>229</v>
      </c>
      <c r="F704" s="3"/>
      <c r="G704" s="3"/>
      <c r="H704" s="3"/>
      <c r="I704" s="3"/>
      <c r="J704" s="3"/>
      <c r="K704" s="3"/>
      <c r="L704" s="3" t="s">
        <v>90</v>
      </c>
      <c r="M704" s="3">
        <v>40</v>
      </c>
      <c r="N704" s="3" t="s">
        <v>105</v>
      </c>
      <c r="O704" s="3"/>
      <c r="P704" s="3"/>
      <c r="Q704" s="3">
        <v>0.46</v>
      </c>
      <c r="R704" s="3" t="s">
        <v>106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89</v>
      </c>
      <c r="C705" s="3" t="s">
        <v>229</v>
      </c>
      <c r="D705" s="3"/>
      <c r="E705" s="3" t="s">
        <v>229</v>
      </c>
      <c r="F705" s="3"/>
      <c r="G705" s="3"/>
      <c r="H705" s="3"/>
      <c r="I705" s="3"/>
      <c r="J705" s="3"/>
      <c r="K705" s="3"/>
      <c r="L705" s="3" t="s">
        <v>90</v>
      </c>
      <c r="M705" s="3">
        <v>50</v>
      </c>
      <c r="N705" s="3" t="s">
        <v>107</v>
      </c>
      <c r="O705" s="3"/>
      <c r="P705" s="3"/>
      <c r="Q705" s="3">
        <v>14.427</v>
      </c>
      <c r="R705" s="3" t="s">
        <v>15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89</v>
      </c>
      <c r="C706" s="3" t="s">
        <v>229</v>
      </c>
      <c r="D706" s="3"/>
      <c r="E706" s="3" t="s">
        <v>229</v>
      </c>
      <c r="F706" s="3"/>
      <c r="G706" s="3"/>
      <c r="H706" s="3"/>
      <c r="I706" s="3"/>
      <c r="J706" s="3"/>
      <c r="K706" s="3"/>
      <c r="L706" s="3" t="s">
        <v>90</v>
      </c>
      <c r="M706" s="3">
        <v>60</v>
      </c>
      <c r="N706" s="3" t="s">
        <v>18</v>
      </c>
      <c r="O706" s="3"/>
      <c r="P706" s="3"/>
      <c r="Q706" s="3">
        <v>88.727000000000004</v>
      </c>
      <c r="R706" s="3" t="s">
        <v>15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89</v>
      </c>
      <c r="C707" s="3" t="s">
        <v>229</v>
      </c>
      <c r="D707" s="3"/>
      <c r="E707" s="3" t="s">
        <v>229</v>
      </c>
      <c r="F707" s="3"/>
      <c r="G707" s="3"/>
      <c r="H707" s="3"/>
      <c r="I707" s="3"/>
      <c r="J707" s="3"/>
      <c r="K707" s="3"/>
      <c r="L707" s="3" t="s">
        <v>90</v>
      </c>
      <c r="M707" s="3">
        <v>70</v>
      </c>
      <c r="N707" s="3" t="s">
        <v>113</v>
      </c>
      <c r="O707" s="3"/>
      <c r="P707" s="3"/>
      <c r="Q707" s="3">
        <v>4</v>
      </c>
      <c r="R707" s="3" t="s">
        <v>11</v>
      </c>
      <c r="S707" s="3"/>
      <c r="T707" s="3">
        <v>10</v>
      </c>
      <c r="U707" s="3"/>
      <c r="V707" s="3" t="s">
        <v>14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89</v>
      </c>
      <c r="C708" s="3" t="s">
        <v>229</v>
      </c>
      <c r="D708" s="3"/>
      <c r="E708" s="3" t="s">
        <v>229</v>
      </c>
      <c r="F708" s="3"/>
      <c r="G708" s="3"/>
      <c r="H708" s="3"/>
      <c r="I708" s="3"/>
      <c r="J708" s="3"/>
      <c r="K708" s="3"/>
      <c r="L708" s="3" t="s">
        <v>90</v>
      </c>
      <c r="M708" s="3">
        <v>80</v>
      </c>
      <c r="N708" s="3" t="s">
        <v>21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89</v>
      </c>
      <c r="C709" s="3" t="s">
        <v>229</v>
      </c>
      <c r="D709" s="3"/>
      <c r="E709" s="3" t="s">
        <v>229</v>
      </c>
      <c r="F709" s="3"/>
      <c r="G709" s="3"/>
      <c r="H709" s="3"/>
      <c r="I709" s="3"/>
      <c r="J709" s="3"/>
      <c r="K709" s="3"/>
      <c r="L709" s="3" t="s">
        <v>90</v>
      </c>
      <c r="M709" s="3">
        <v>90</v>
      </c>
      <c r="N709" s="3" t="s">
        <v>22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89</v>
      </c>
      <c r="C710" s="3" t="s">
        <v>229</v>
      </c>
      <c r="D710" s="3"/>
      <c r="E710" s="3" t="s">
        <v>229</v>
      </c>
      <c r="F710" s="3"/>
      <c r="G710" s="3"/>
      <c r="H710" s="3"/>
      <c r="I710" s="3"/>
      <c r="J710" s="3"/>
      <c r="K710" s="3"/>
      <c r="L710" s="3" t="s">
        <v>90</v>
      </c>
      <c r="M710" s="3">
        <v>100</v>
      </c>
      <c r="N710" s="3" t="s">
        <v>23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89</v>
      </c>
      <c r="C711" s="3" t="s">
        <v>229</v>
      </c>
      <c r="D711" s="3"/>
      <c r="E711" s="3" t="s">
        <v>229</v>
      </c>
      <c r="F711" s="3"/>
      <c r="G711" s="3"/>
      <c r="H711" s="3"/>
      <c r="I711" s="3"/>
      <c r="J711" s="3"/>
      <c r="K711" s="3"/>
      <c r="L711" s="3" t="s">
        <v>90</v>
      </c>
      <c r="M711" s="3">
        <v>110</v>
      </c>
      <c r="N711" s="3" t="s">
        <v>111</v>
      </c>
      <c r="O711" s="3"/>
      <c r="P711" s="3"/>
      <c r="Q711" s="3">
        <v>0.94599999999999995</v>
      </c>
      <c r="R711" s="3" t="s">
        <v>13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89</v>
      </c>
      <c r="C712" s="3" t="s">
        <v>229</v>
      </c>
      <c r="D712" s="3"/>
      <c r="E712" s="3" t="s">
        <v>229</v>
      </c>
      <c r="F712" s="3"/>
      <c r="G712" s="3"/>
      <c r="H712" s="3"/>
      <c r="I712" s="3"/>
      <c r="J712" s="3"/>
      <c r="K712" s="3"/>
      <c r="L712" s="3" t="s">
        <v>90</v>
      </c>
      <c r="M712" s="3">
        <v>120</v>
      </c>
      <c r="N712" s="3" t="s">
        <v>230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16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89</v>
      </c>
      <c r="C713" s="3" t="s">
        <v>231</v>
      </c>
      <c r="D713" s="3"/>
      <c r="E713" s="3" t="s">
        <v>231</v>
      </c>
      <c r="F713" s="3"/>
      <c r="G713" s="3"/>
      <c r="H713" s="3"/>
      <c r="I713" s="3"/>
      <c r="J713" s="3"/>
      <c r="K713" s="3"/>
      <c r="L713" s="3" t="s">
        <v>90</v>
      </c>
      <c r="M713" s="3">
        <v>10</v>
      </c>
      <c r="N713" s="3" t="s">
        <v>322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16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89</v>
      </c>
      <c r="C714" s="3" t="s">
        <v>231</v>
      </c>
      <c r="D714" s="3"/>
      <c r="E714" s="3" t="s">
        <v>231</v>
      </c>
      <c r="F714" s="3"/>
      <c r="G714" s="3"/>
      <c r="H714" s="3"/>
      <c r="I714" s="3"/>
      <c r="J714" s="3"/>
      <c r="K714" s="3"/>
      <c r="L714" s="3" t="s">
        <v>90</v>
      </c>
      <c r="M714" s="3">
        <v>20</v>
      </c>
      <c r="N714" s="3" t="s">
        <v>109</v>
      </c>
      <c r="O714" s="3"/>
      <c r="P714" s="3"/>
      <c r="Q714" s="3">
        <v>1.702</v>
      </c>
      <c r="R714" s="3" t="s">
        <v>15</v>
      </c>
      <c r="S714" s="3"/>
      <c r="T714" s="3">
        <v>10</v>
      </c>
      <c r="U714" s="3"/>
      <c r="V714" s="3" t="s">
        <v>16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89</v>
      </c>
      <c r="C715" s="3" t="s">
        <v>231</v>
      </c>
      <c r="D715" s="3"/>
      <c r="E715" s="3" t="s">
        <v>231</v>
      </c>
      <c r="F715" s="3"/>
      <c r="G715" s="3"/>
      <c r="H715" s="3"/>
      <c r="I715" s="3"/>
      <c r="J715" s="3"/>
      <c r="K715" s="3"/>
      <c r="L715" s="3" t="s">
        <v>90</v>
      </c>
      <c r="M715" s="3">
        <v>30</v>
      </c>
      <c r="N715" s="3" t="s">
        <v>110</v>
      </c>
      <c r="O715" s="3"/>
      <c r="P715" s="3"/>
      <c r="Q715" s="3">
        <v>1.702</v>
      </c>
      <c r="R715" s="3" t="s">
        <v>15</v>
      </c>
      <c r="S715" s="3"/>
      <c r="T715" s="3">
        <v>10</v>
      </c>
      <c r="U715" s="3"/>
      <c r="V715" s="3" t="s">
        <v>16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89</v>
      </c>
      <c r="C716" s="3" t="s">
        <v>231</v>
      </c>
      <c r="D716" s="3"/>
      <c r="E716" s="3" t="s">
        <v>231</v>
      </c>
      <c r="F716" s="3"/>
      <c r="G716" s="3"/>
      <c r="H716" s="3"/>
      <c r="I716" s="3"/>
      <c r="J716" s="3"/>
      <c r="K716" s="3"/>
      <c r="L716" s="3" t="s">
        <v>90</v>
      </c>
      <c r="M716" s="3">
        <v>40</v>
      </c>
      <c r="N716" s="3" t="s">
        <v>105</v>
      </c>
      <c r="O716" s="3"/>
      <c r="P716" s="3"/>
      <c r="Q716" s="3">
        <v>0.50700000000000001</v>
      </c>
      <c r="R716" s="3" t="s">
        <v>106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89</v>
      </c>
      <c r="C717" s="3" t="s">
        <v>231</v>
      </c>
      <c r="D717" s="3"/>
      <c r="E717" s="3" t="s">
        <v>231</v>
      </c>
      <c r="F717" s="3"/>
      <c r="G717" s="3"/>
      <c r="H717" s="3"/>
      <c r="I717" s="3"/>
      <c r="J717" s="3"/>
      <c r="K717" s="3"/>
      <c r="L717" s="3" t="s">
        <v>90</v>
      </c>
      <c r="M717" s="3">
        <v>50</v>
      </c>
      <c r="N717" s="3" t="s">
        <v>107</v>
      </c>
      <c r="O717" s="3"/>
      <c r="P717" s="3"/>
      <c r="Q717" s="3">
        <v>15.037000000000001</v>
      </c>
      <c r="R717" s="3" t="s">
        <v>15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89</v>
      </c>
      <c r="C718" s="3" t="s">
        <v>231</v>
      </c>
      <c r="D718" s="3"/>
      <c r="E718" s="3" t="s">
        <v>231</v>
      </c>
      <c r="F718" s="3"/>
      <c r="G718" s="3"/>
      <c r="H718" s="3"/>
      <c r="I718" s="3"/>
      <c r="J718" s="3"/>
      <c r="K718" s="3"/>
      <c r="L718" s="3" t="s">
        <v>90</v>
      </c>
      <c r="M718" s="3">
        <v>60</v>
      </c>
      <c r="N718" s="3" t="s">
        <v>18</v>
      </c>
      <c r="O718" s="3"/>
      <c r="P718" s="3"/>
      <c r="Q718" s="3">
        <v>92.475999999999999</v>
      </c>
      <c r="R718" s="3" t="s">
        <v>15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89</v>
      </c>
      <c r="C719" s="3" t="s">
        <v>231</v>
      </c>
      <c r="D719" s="3"/>
      <c r="E719" s="3" t="s">
        <v>231</v>
      </c>
      <c r="F719" s="3"/>
      <c r="G719" s="3"/>
      <c r="H719" s="3"/>
      <c r="I719" s="3"/>
      <c r="J719" s="3"/>
      <c r="K719" s="3"/>
      <c r="L719" s="3" t="s">
        <v>90</v>
      </c>
      <c r="M719" s="3">
        <v>70</v>
      </c>
      <c r="N719" s="3" t="s">
        <v>113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89</v>
      </c>
      <c r="C720" s="3" t="s">
        <v>231</v>
      </c>
      <c r="D720" s="3"/>
      <c r="E720" s="3" t="s">
        <v>231</v>
      </c>
      <c r="F720" s="3"/>
      <c r="G720" s="3"/>
      <c r="H720" s="3"/>
      <c r="I720" s="3"/>
      <c r="J720" s="3"/>
      <c r="K720" s="3"/>
      <c r="L720" s="3" t="s">
        <v>90</v>
      </c>
      <c r="M720" s="3">
        <v>80</v>
      </c>
      <c r="N720" s="3" t="s">
        <v>21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89</v>
      </c>
      <c r="C721" s="3" t="s">
        <v>231</v>
      </c>
      <c r="D721" s="3"/>
      <c r="E721" s="3" t="s">
        <v>231</v>
      </c>
      <c r="F721" s="3"/>
      <c r="G721" s="3"/>
      <c r="H721" s="3"/>
      <c r="I721" s="3"/>
      <c r="J721" s="3"/>
      <c r="K721" s="3"/>
      <c r="L721" s="3" t="s">
        <v>90</v>
      </c>
      <c r="M721" s="3">
        <v>90</v>
      </c>
      <c r="N721" s="3" t="s">
        <v>22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89</v>
      </c>
      <c r="C722" s="3" t="s">
        <v>231</v>
      </c>
      <c r="D722" s="3"/>
      <c r="E722" s="3" t="s">
        <v>231</v>
      </c>
      <c r="F722" s="3"/>
      <c r="G722" s="3"/>
      <c r="H722" s="3"/>
      <c r="I722" s="3"/>
      <c r="J722" s="3"/>
      <c r="K722" s="3"/>
      <c r="L722" s="3" t="s">
        <v>90</v>
      </c>
      <c r="M722" s="3">
        <v>100</v>
      </c>
      <c r="N722" s="3" t="s">
        <v>23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89</v>
      </c>
      <c r="C723" s="3" t="s">
        <v>231</v>
      </c>
      <c r="D723" s="3"/>
      <c r="E723" s="3" t="s">
        <v>231</v>
      </c>
      <c r="F723" s="3"/>
      <c r="G723" s="3"/>
      <c r="H723" s="3"/>
      <c r="I723" s="3"/>
      <c r="J723" s="3"/>
      <c r="K723" s="3"/>
      <c r="L723" s="3" t="s">
        <v>90</v>
      </c>
      <c r="M723" s="3">
        <v>110</v>
      </c>
      <c r="N723" s="3" t="s">
        <v>111</v>
      </c>
      <c r="O723" s="3"/>
      <c r="P723" s="3"/>
      <c r="Q723" s="3">
        <v>1.0269999999999999</v>
      </c>
      <c r="R723" s="3" t="s">
        <v>13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89</v>
      </c>
      <c r="C724" s="3" t="s">
        <v>231</v>
      </c>
      <c r="D724" s="3"/>
      <c r="E724" s="3" t="s">
        <v>231</v>
      </c>
      <c r="F724" s="3"/>
      <c r="G724" s="3"/>
      <c r="H724" s="3"/>
      <c r="I724" s="3"/>
      <c r="J724" s="3"/>
      <c r="K724" s="3"/>
      <c r="L724" s="3" t="s">
        <v>90</v>
      </c>
      <c r="M724" s="3">
        <v>120</v>
      </c>
      <c r="N724" s="3" t="s">
        <v>232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89</v>
      </c>
      <c r="C725" s="3" t="s">
        <v>233</v>
      </c>
      <c r="D725" s="3"/>
      <c r="E725" s="3" t="s">
        <v>233</v>
      </c>
      <c r="F725" s="3"/>
      <c r="G725" s="3"/>
      <c r="H725" s="3"/>
      <c r="I725" s="3"/>
      <c r="J725" s="3"/>
      <c r="K725" s="3"/>
      <c r="L725" s="3" t="s">
        <v>90</v>
      </c>
      <c r="M725" s="3">
        <v>10</v>
      </c>
      <c r="N725" s="3" t="s">
        <v>323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89</v>
      </c>
      <c r="C726" s="3" t="s">
        <v>233</v>
      </c>
      <c r="D726" s="3"/>
      <c r="E726" s="3" t="s">
        <v>233</v>
      </c>
      <c r="F726" s="3"/>
      <c r="G726" s="3"/>
      <c r="H726" s="3"/>
      <c r="I726" s="3"/>
      <c r="J726" s="3"/>
      <c r="K726" s="3"/>
      <c r="L726" s="3" t="s">
        <v>90</v>
      </c>
      <c r="M726" s="3">
        <v>20</v>
      </c>
      <c r="N726" s="3" t="s">
        <v>109</v>
      </c>
      <c r="O726" s="3"/>
      <c r="P726" s="3"/>
      <c r="Q726" s="3">
        <v>1.8540000000000001</v>
      </c>
      <c r="R726" s="3" t="s">
        <v>15</v>
      </c>
      <c r="S726" s="3"/>
      <c r="T726" s="3">
        <v>10</v>
      </c>
      <c r="U726" s="3"/>
      <c r="V726" s="3" t="s">
        <v>16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89</v>
      </c>
      <c r="C727" s="3" t="s">
        <v>233</v>
      </c>
      <c r="D727" s="3"/>
      <c r="E727" s="3" t="s">
        <v>233</v>
      </c>
      <c r="F727" s="3"/>
      <c r="G727" s="3"/>
      <c r="H727" s="3"/>
      <c r="I727" s="3"/>
      <c r="J727" s="3"/>
      <c r="K727" s="3"/>
      <c r="L727" s="3" t="s">
        <v>90</v>
      </c>
      <c r="M727" s="3">
        <v>30</v>
      </c>
      <c r="N727" s="3" t="s">
        <v>110</v>
      </c>
      <c r="O727" s="3"/>
      <c r="P727" s="3"/>
      <c r="Q727" s="3">
        <v>1.8540000000000001</v>
      </c>
      <c r="R727" s="3" t="s">
        <v>15</v>
      </c>
      <c r="S727" s="3"/>
      <c r="T727" s="3">
        <v>10</v>
      </c>
      <c r="U727" s="3"/>
      <c r="V727" s="3" t="s">
        <v>16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89</v>
      </c>
      <c r="C728" s="3" t="s">
        <v>233</v>
      </c>
      <c r="D728" s="3"/>
      <c r="E728" s="3" t="s">
        <v>233</v>
      </c>
      <c r="F728" s="3"/>
      <c r="G728" s="3"/>
      <c r="H728" s="3"/>
      <c r="I728" s="3"/>
      <c r="J728" s="3"/>
      <c r="K728" s="3"/>
      <c r="L728" s="3" t="s">
        <v>90</v>
      </c>
      <c r="M728" s="3">
        <v>40</v>
      </c>
      <c r="N728" s="3" t="s">
        <v>105</v>
      </c>
      <c r="O728" s="3"/>
      <c r="P728" s="3"/>
      <c r="Q728" s="3">
        <v>0.55400000000000005</v>
      </c>
      <c r="R728" s="3" t="s">
        <v>106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89</v>
      </c>
      <c r="C729" s="3" t="s">
        <v>233</v>
      </c>
      <c r="D729" s="3"/>
      <c r="E729" s="3" t="s">
        <v>233</v>
      </c>
      <c r="F729" s="3"/>
      <c r="G729" s="3"/>
      <c r="H729" s="3"/>
      <c r="I729" s="3"/>
      <c r="J729" s="3"/>
      <c r="K729" s="3"/>
      <c r="L729" s="3" t="s">
        <v>90</v>
      </c>
      <c r="M729" s="3">
        <v>50</v>
      </c>
      <c r="N729" s="3" t="s">
        <v>107</v>
      </c>
      <c r="O729" s="3"/>
      <c r="P729" s="3"/>
      <c r="Q729" s="3">
        <v>15.646000000000001</v>
      </c>
      <c r="R729" s="3" t="s">
        <v>15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89</v>
      </c>
      <c r="C730" s="3" t="s">
        <v>233</v>
      </c>
      <c r="D730" s="3"/>
      <c r="E730" s="3" t="s">
        <v>233</v>
      </c>
      <c r="F730" s="3"/>
      <c r="G730" s="3"/>
      <c r="H730" s="3"/>
      <c r="I730" s="3"/>
      <c r="J730" s="3"/>
      <c r="K730" s="3"/>
      <c r="L730" s="3" t="s">
        <v>90</v>
      </c>
      <c r="M730" s="3">
        <v>60</v>
      </c>
      <c r="N730" s="3" t="s">
        <v>18</v>
      </c>
      <c r="O730" s="3"/>
      <c r="P730" s="3"/>
      <c r="Q730" s="3">
        <v>96.224999999999994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89</v>
      </c>
      <c r="C731" s="3" t="s">
        <v>233</v>
      </c>
      <c r="D731" s="3"/>
      <c r="E731" s="3" t="s">
        <v>233</v>
      </c>
      <c r="F731" s="3"/>
      <c r="G731" s="3"/>
      <c r="H731" s="3"/>
      <c r="I731" s="3"/>
      <c r="J731" s="3"/>
      <c r="K731" s="3"/>
      <c r="L731" s="3" t="s">
        <v>90</v>
      </c>
      <c r="M731" s="3">
        <v>70</v>
      </c>
      <c r="N731" s="3" t="s">
        <v>113</v>
      </c>
      <c r="O731" s="3"/>
      <c r="P731" s="3"/>
      <c r="Q731" s="3">
        <v>4</v>
      </c>
      <c r="R731" s="3" t="s">
        <v>11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89</v>
      </c>
      <c r="C732" s="3" t="s">
        <v>233</v>
      </c>
      <c r="D732" s="3"/>
      <c r="E732" s="3" t="s">
        <v>233</v>
      </c>
      <c r="F732" s="3"/>
      <c r="G732" s="3"/>
      <c r="H732" s="3"/>
      <c r="I732" s="3"/>
      <c r="J732" s="3"/>
      <c r="K732" s="3"/>
      <c r="L732" s="3" t="s">
        <v>90</v>
      </c>
      <c r="M732" s="3">
        <v>80</v>
      </c>
      <c r="N732" s="3" t="s">
        <v>21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89</v>
      </c>
      <c r="C733" s="3" t="s">
        <v>233</v>
      </c>
      <c r="D733" s="3"/>
      <c r="E733" s="3" t="s">
        <v>233</v>
      </c>
      <c r="F733" s="3"/>
      <c r="G733" s="3"/>
      <c r="H733" s="3"/>
      <c r="I733" s="3"/>
      <c r="J733" s="3"/>
      <c r="K733" s="3"/>
      <c r="L733" s="3" t="s">
        <v>90</v>
      </c>
      <c r="M733" s="3">
        <v>90</v>
      </c>
      <c r="N733" s="3" t="s">
        <v>22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89</v>
      </c>
      <c r="C734" s="3" t="s">
        <v>233</v>
      </c>
      <c r="D734" s="3"/>
      <c r="E734" s="3" t="s">
        <v>233</v>
      </c>
      <c r="F734" s="3"/>
      <c r="G734" s="3"/>
      <c r="H734" s="3"/>
      <c r="I734" s="3"/>
      <c r="J734" s="3"/>
      <c r="K734" s="3"/>
      <c r="L734" s="3" t="s">
        <v>90</v>
      </c>
      <c r="M734" s="3">
        <v>100</v>
      </c>
      <c r="N734" s="3" t="s">
        <v>23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89</v>
      </c>
      <c r="C735" s="3" t="s">
        <v>233</v>
      </c>
      <c r="D735" s="3"/>
      <c r="E735" s="3" t="s">
        <v>233</v>
      </c>
      <c r="F735" s="3"/>
      <c r="G735" s="3"/>
      <c r="H735" s="3"/>
      <c r="I735" s="3"/>
      <c r="J735" s="3"/>
      <c r="K735" s="3"/>
      <c r="L735" s="3" t="s">
        <v>90</v>
      </c>
      <c r="M735" s="3">
        <v>110</v>
      </c>
      <c r="N735" s="3" t="s">
        <v>111</v>
      </c>
      <c r="O735" s="3"/>
      <c r="P735" s="3"/>
      <c r="Q735" s="3">
        <v>1.1080000000000001</v>
      </c>
      <c r="R735" s="3" t="s">
        <v>13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89</v>
      </c>
      <c r="C736" s="3" t="s">
        <v>233</v>
      </c>
      <c r="D736" s="3"/>
      <c r="E736" s="3" t="s">
        <v>233</v>
      </c>
      <c r="F736" s="3"/>
      <c r="G736" s="3"/>
      <c r="H736" s="3"/>
      <c r="I736" s="3"/>
      <c r="J736" s="3"/>
      <c r="K736" s="3"/>
      <c r="L736" s="3" t="s">
        <v>90</v>
      </c>
      <c r="M736" s="3">
        <v>120</v>
      </c>
      <c r="N736" s="3" t="s">
        <v>234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16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89</v>
      </c>
      <c r="C737" s="3" t="s">
        <v>235</v>
      </c>
      <c r="D737" s="3"/>
      <c r="E737" s="3" t="s">
        <v>235</v>
      </c>
      <c r="F737" s="3"/>
      <c r="G737" s="3"/>
      <c r="H737" s="3"/>
      <c r="I737" s="3"/>
      <c r="J737" s="3"/>
      <c r="K737" s="3"/>
      <c r="L737" s="3" t="s">
        <v>90</v>
      </c>
      <c r="M737" s="3">
        <v>10</v>
      </c>
      <c r="N737" s="3" t="s">
        <v>324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16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89</v>
      </c>
      <c r="C738" s="3" t="s">
        <v>235</v>
      </c>
      <c r="D738" s="3"/>
      <c r="E738" s="3" t="s">
        <v>235</v>
      </c>
      <c r="F738" s="3"/>
      <c r="G738" s="3"/>
      <c r="H738" s="3"/>
      <c r="I738" s="3"/>
      <c r="J738" s="3"/>
      <c r="K738" s="3"/>
      <c r="L738" s="3" t="s">
        <v>90</v>
      </c>
      <c r="M738" s="3">
        <v>20</v>
      </c>
      <c r="N738" s="3" t="s">
        <v>109</v>
      </c>
      <c r="O738" s="3"/>
      <c r="P738" s="3"/>
      <c r="Q738" s="3">
        <v>2.0569999999999999</v>
      </c>
      <c r="R738" s="3" t="s">
        <v>15</v>
      </c>
      <c r="S738" s="3"/>
      <c r="T738" s="3">
        <v>10</v>
      </c>
      <c r="U738" s="3"/>
      <c r="V738" s="3" t="s">
        <v>16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89</v>
      </c>
      <c r="C739" s="3" t="s">
        <v>235</v>
      </c>
      <c r="D739" s="3"/>
      <c r="E739" s="3" t="s">
        <v>235</v>
      </c>
      <c r="F739" s="3"/>
      <c r="G739" s="3"/>
      <c r="H739" s="3"/>
      <c r="I739" s="3"/>
      <c r="J739" s="3"/>
      <c r="K739" s="3"/>
      <c r="L739" s="3" t="s">
        <v>90</v>
      </c>
      <c r="M739" s="3">
        <v>30</v>
      </c>
      <c r="N739" s="3" t="s">
        <v>110</v>
      </c>
      <c r="O739" s="3"/>
      <c r="P739" s="3"/>
      <c r="Q739" s="3">
        <v>2.0569999999999999</v>
      </c>
      <c r="R739" s="3" t="s">
        <v>15</v>
      </c>
      <c r="S739" s="3"/>
      <c r="T739" s="3">
        <v>10</v>
      </c>
      <c r="U739" s="3"/>
      <c r="V739" s="3" t="s">
        <v>16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89</v>
      </c>
      <c r="C740" s="3" t="s">
        <v>235</v>
      </c>
      <c r="D740" s="3"/>
      <c r="E740" s="3" t="s">
        <v>235</v>
      </c>
      <c r="F740" s="3"/>
      <c r="G740" s="3"/>
      <c r="H740" s="3"/>
      <c r="I740" s="3"/>
      <c r="J740" s="3"/>
      <c r="K740" s="3"/>
      <c r="L740" s="3" t="s">
        <v>90</v>
      </c>
      <c r="M740" s="3">
        <v>40</v>
      </c>
      <c r="N740" s="3" t="s">
        <v>105</v>
      </c>
      <c r="O740" s="3"/>
      <c r="P740" s="3"/>
      <c r="Q740" s="3">
        <v>0.23200000000000001</v>
      </c>
      <c r="R740" s="3" t="s">
        <v>106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89</v>
      </c>
      <c r="C741" s="3" t="s">
        <v>235</v>
      </c>
      <c r="D741" s="3"/>
      <c r="E741" s="3" t="s">
        <v>235</v>
      </c>
      <c r="F741" s="3"/>
      <c r="G741" s="3"/>
      <c r="H741" s="3"/>
      <c r="I741" s="3"/>
      <c r="J741" s="3"/>
      <c r="K741" s="3"/>
      <c r="L741" s="3" t="s">
        <v>90</v>
      </c>
      <c r="M741" s="3">
        <v>50</v>
      </c>
      <c r="N741" s="3" t="s">
        <v>107</v>
      </c>
      <c r="O741" s="3"/>
      <c r="P741" s="3"/>
      <c r="Q741" s="3">
        <v>11.582000000000001</v>
      </c>
      <c r="R741" s="3" t="s">
        <v>15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89</v>
      </c>
      <c r="C742" s="3" t="s">
        <v>235</v>
      </c>
      <c r="D742" s="3"/>
      <c r="E742" s="3" t="s">
        <v>235</v>
      </c>
      <c r="F742" s="3"/>
      <c r="G742" s="3"/>
      <c r="H742" s="3"/>
      <c r="I742" s="3"/>
      <c r="J742" s="3"/>
      <c r="K742" s="3"/>
      <c r="L742" s="3" t="s">
        <v>90</v>
      </c>
      <c r="M742" s="3">
        <v>60</v>
      </c>
      <c r="N742" s="3" t="s">
        <v>18</v>
      </c>
      <c r="O742" s="3"/>
      <c r="P742" s="3"/>
      <c r="Q742" s="3">
        <v>71.231999999999999</v>
      </c>
      <c r="R742" s="3" t="s">
        <v>15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89</v>
      </c>
      <c r="C743" s="3" t="s">
        <v>235</v>
      </c>
      <c r="D743" s="3"/>
      <c r="E743" s="3" t="s">
        <v>235</v>
      </c>
      <c r="F743" s="3"/>
      <c r="G743" s="3"/>
      <c r="H743" s="3"/>
      <c r="I743" s="3"/>
      <c r="J743" s="3"/>
      <c r="K743" s="3"/>
      <c r="L743" s="3" t="s">
        <v>90</v>
      </c>
      <c r="M743" s="3">
        <v>70</v>
      </c>
      <c r="N743" s="3" t="s">
        <v>113</v>
      </c>
      <c r="O743" s="3"/>
      <c r="P743" s="3"/>
      <c r="Q743" s="3">
        <v>4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89</v>
      </c>
      <c r="C744" s="3" t="s">
        <v>235</v>
      </c>
      <c r="D744" s="3"/>
      <c r="E744" s="3" t="s">
        <v>235</v>
      </c>
      <c r="F744" s="3"/>
      <c r="G744" s="3"/>
      <c r="H744" s="3"/>
      <c r="I744" s="3"/>
      <c r="J744" s="3"/>
      <c r="K744" s="3"/>
      <c r="L744" s="3" t="s">
        <v>90</v>
      </c>
      <c r="M744" s="3">
        <v>80</v>
      </c>
      <c r="N744" s="3" t="s">
        <v>21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89</v>
      </c>
      <c r="C745" s="3" t="s">
        <v>235</v>
      </c>
      <c r="D745" s="3"/>
      <c r="E745" s="3" t="s">
        <v>235</v>
      </c>
      <c r="F745" s="3"/>
      <c r="G745" s="3"/>
      <c r="H745" s="3"/>
      <c r="I745" s="3"/>
      <c r="J745" s="3"/>
      <c r="K745" s="3"/>
      <c r="L745" s="3" t="s">
        <v>90</v>
      </c>
      <c r="M745" s="3">
        <v>90</v>
      </c>
      <c r="N745" s="3" t="s">
        <v>22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89</v>
      </c>
      <c r="C746" s="3" t="s">
        <v>235</v>
      </c>
      <c r="D746" s="3"/>
      <c r="E746" s="3" t="s">
        <v>235</v>
      </c>
      <c r="F746" s="3"/>
      <c r="G746" s="3"/>
      <c r="H746" s="3"/>
      <c r="I746" s="3"/>
      <c r="J746" s="3"/>
      <c r="K746" s="3"/>
      <c r="L746" s="3" t="s">
        <v>90</v>
      </c>
      <c r="M746" s="3">
        <v>100</v>
      </c>
      <c r="N746" s="3" t="s">
        <v>23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89</v>
      </c>
      <c r="C747" s="3" t="s">
        <v>235</v>
      </c>
      <c r="D747" s="3"/>
      <c r="E747" s="3" t="s">
        <v>235</v>
      </c>
      <c r="F747" s="3"/>
      <c r="G747" s="3"/>
      <c r="H747" s="3"/>
      <c r="I747" s="3"/>
      <c r="J747" s="3"/>
      <c r="K747" s="3"/>
      <c r="L747" s="3" t="s">
        <v>90</v>
      </c>
      <c r="M747" s="3">
        <v>110</v>
      </c>
      <c r="N747" s="3" t="s">
        <v>111</v>
      </c>
      <c r="O747" s="3"/>
      <c r="P747" s="3"/>
      <c r="Q747" s="3">
        <v>1.216</v>
      </c>
      <c r="R747" s="3" t="s">
        <v>13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89</v>
      </c>
      <c r="C748" s="3" t="s">
        <v>235</v>
      </c>
      <c r="D748" s="3"/>
      <c r="E748" s="3" t="s">
        <v>235</v>
      </c>
      <c r="F748" s="3"/>
      <c r="G748" s="3"/>
      <c r="H748" s="3"/>
      <c r="I748" s="3"/>
      <c r="J748" s="3"/>
      <c r="K748" s="3"/>
      <c r="L748" s="3" t="s">
        <v>90</v>
      </c>
      <c r="M748" s="3">
        <v>120</v>
      </c>
      <c r="N748" s="3" t="s">
        <v>236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89</v>
      </c>
      <c r="C749" s="3" t="s">
        <v>237</v>
      </c>
      <c r="D749" s="3"/>
      <c r="E749" s="3" t="s">
        <v>237</v>
      </c>
      <c r="F749" s="3"/>
      <c r="G749" s="3"/>
      <c r="H749" s="3"/>
      <c r="I749" s="3"/>
      <c r="J749" s="3"/>
      <c r="K749" s="3"/>
      <c r="L749" s="3" t="s">
        <v>90</v>
      </c>
      <c r="M749" s="3">
        <v>10</v>
      </c>
      <c r="N749" s="3" t="s">
        <v>325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89</v>
      </c>
      <c r="C750" s="3" t="s">
        <v>237</v>
      </c>
      <c r="D750" s="3"/>
      <c r="E750" s="3" t="s">
        <v>237</v>
      </c>
      <c r="F750" s="3"/>
      <c r="G750" s="3"/>
      <c r="H750" s="3"/>
      <c r="I750" s="3"/>
      <c r="J750" s="3"/>
      <c r="K750" s="3"/>
      <c r="L750" s="3" t="s">
        <v>90</v>
      </c>
      <c r="M750" s="3">
        <v>20</v>
      </c>
      <c r="N750" s="3" t="s">
        <v>109</v>
      </c>
      <c r="O750" s="3"/>
      <c r="P750" s="3"/>
      <c r="Q750" s="3">
        <v>2.0569999999999999</v>
      </c>
      <c r="R750" s="3" t="s">
        <v>15</v>
      </c>
      <c r="S750" s="3"/>
      <c r="T750" s="3">
        <v>10</v>
      </c>
      <c r="U750" s="3"/>
      <c r="V750" s="3" t="s">
        <v>16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89</v>
      </c>
      <c r="C751" s="3" t="s">
        <v>237</v>
      </c>
      <c r="D751" s="3"/>
      <c r="E751" s="3" t="s">
        <v>237</v>
      </c>
      <c r="F751" s="3"/>
      <c r="G751" s="3"/>
      <c r="H751" s="3"/>
      <c r="I751" s="3"/>
      <c r="J751" s="3"/>
      <c r="K751" s="3"/>
      <c r="L751" s="3" t="s">
        <v>90</v>
      </c>
      <c r="M751" s="3">
        <v>30</v>
      </c>
      <c r="N751" s="3" t="s">
        <v>110</v>
      </c>
      <c r="O751" s="3"/>
      <c r="P751" s="3"/>
      <c r="Q751" s="3">
        <v>2.0569999999999999</v>
      </c>
      <c r="R751" s="3" t="s">
        <v>15</v>
      </c>
      <c r="S751" s="3"/>
      <c r="T751" s="3">
        <v>10</v>
      </c>
      <c r="U751" s="3"/>
      <c r="V751" s="3" t="s">
        <v>16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89</v>
      </c>
      <c r="C752" s="3" t="s">
        <v>237</v>
      </c>
      <c r="D752" s="3"/>
      <c r="E752" s="3" t="s">
        <v>237</v>
      </c>
      <c r="F752" s="3"/>
      <c r="G752" s="3"/>
      <c r="H752" s="3"/>
      <c r="I752" s="3"/>
      <c r="J752" s="3"/>
      <c r="K752" s="3"/>
      <c r="L752" s="3" t="s">
        <v>90</v>
      </c>
      <c r="M752" s="3">
        <v>40</v>
      </c>
      <c r="N752" s="3" t="s">
        <v>105</v>
      </c>
      <c r="O752" s="3"/>
      <c r="P752" s="3"/>
      <c r="Q752" s="3">
        <v>0.28000000000000003</v>
      </c>
      <c r="R752" s="3" t="s">
        <v>106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89</v>
      </c>
      <c r="C753" s="3" t="s">
        <v>237</v>
      </c>
      <c r="D753" s="3"/>
      <c r="E753" s="3" t="s">
        <v>237</v>
      </c>
      <c r="F753" s="3"/>
      <c r="G753" s="3"/>
      <c r="H753" s="3"/>
      <c r="I753" s="3"/>
      <c r="J753" s="3"/>
      <c r="K753" s="3"/>
      <c r="L753" s="3" t="s">
        <v>90</v>
      </c>
      <c r="M753" s="3">
        <v>50</v>
      </c>
      <c r="N753" s="3" t="s">
        <v>107</v>
      </c>
      <c r="O753" s="3"/>
      <c r="P753" s="3"/>
      <c r="Q753" s="3">
        <v>12.192</v>
      </c>
      <c r="R753" s="3" t="s">
        <v>15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89</v>
      </c>
      <c r="C754" s="3" t="s">
        <v>237</v>
      </c>
      <c r="D754" s="3"/>
      <c r="E754" s="3" t="s">
        <v>237</v>
      </c>
      <c r="F754" s="3"/>
      <c r="G754" s="3"/>
      <c r="H754" s="3"/>
      <c r="I754" s="3"/>
      <c r="J754" s="3"/>
      <c r="K754" s="3"/>
      <c r="L754" s="3" t="s">
        <v>90</v>
      </c>
      <c r="M754" s="3">
        <v>60</v>
      </c>
      <c r="N754" s="3" t="s">
        <v>18</v>
      </c>
      <c r="O754" s="3"/>
      <c r="P754" s="3"/>
      <c r="Q754" s="3">
        <v>74.980999999999995</v>
      </c>
      <c r="R754" s="3" t="s">
        <v>15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89</v>
      </c>
      <c r="C755" s="3" t="s">
        <v>237</v>
      </c>
      <c r="D755" s="3"/>
      <c r="E755" s="3" t="s">
        <v>237</v>
      </c>
      <c r="F755" s="3"/>
      <c r="G755" s="3"/>
      <c r="H755" s="3"/>
      <c r="I755" s="3"/>
      <c r="J755" s="3"/>
      <c r="K755" s="3"/>
      <c r="L755" s="3" t="s">
        <v>90</v>
      </c>
      <c r="M755" s="3">
        <v>70</v>
      </c>
      <c r="N755" s="3" t="s">
        <v>113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89</v>
      </c>
      <c r="C756" s="3" t="s">
        <v>237</v>
      </c>
      <c r="D756" s="3"/>
      <c r="E756" s="3" t="s">
        <v>237</v>
      </c>
      <c r="F756" s="3"/>
      <c r="G756" s="3"/>
      <c r="H756" s="3"/>
      <c r="I756" s="3"/>
      <c r="J756" s="3"/>
      <c r="K756" s="3"/>
      <c r="L756" s="3" t="s">
        <v>90</v>
      </c>
      <c r="M756" s="3">
        <v>80</v>
      </c>
      <c r="N756" s="3" t="s">
        <v>21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89</v>
      </c>
      <c r="C757" s="3" t="s">
        <v>237</v>
      </c>
      <c r="D757" s="3"/>
      <c r="E757" s="3" t="s">
        <v>237</v>
      </c>
      <c r="F757" s="3"/>
      <c r="G757" s="3"/>
      <c r="H757" s="3"/>
      <c r="I757" s="3"/>
      <c r="J757" s="3"/>
      <c r="K757" s="3"/>
      <c r="L757" s="3" t="s">
        <v>90</v>
      </c>
      <c r="M757" s="3">
        <v>90</v>
      </c>
      <c r="N757" s="3" t="s">
        <v>22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89</v>
      </c>
      <c r="C758" s="3" t="s">
        <v>237</v>
      </c>
      <c r="D758" s="3"/>
      <c r="E758" s="3" t="s">
        <v>237</v>
      </c>
      <c r="F758" s="3"/>
      <c r="G758" s="3"/>
      <c r="H758" s="3"/>
      <c r="I758" s="3"/>
      <c r="J758" s="3"/>
      <c r="K758" s="3"/>
      <c r="L758" s="3" t="s">
        <v>90</v>
      </c>
      <c r="M758" s="3">
        <v>100</v>
      </c>
      <c r="N758" s="3" t="s">
        <v>23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89</v>
      </c>
      <c r="C759" s="3" t="s">
        <v>237</v>
      </c>
      <c r="D759" s="3"/>
      <c r="E759" s="3" t="s">
        <v>237</v>
      </c>
      <c r="F759" s="3"/>
      <c r="G759" s="3"/>
      <c r="H759" s="3"/>
      <c r="I759" s="3"/>
      <c r="J759" s="3"/>
      <c r="K759" s="3"/>
      <c r="L759" s="3" t="s">
        <v>90</v>
      </c>
      <c r="M759" s="3">
        <v>110</v>
      </c>
      <c r="N759" s="3" t="s">
        <v>111</v>
      </c>
      <c r="O759" s="3"/>
      <c r="P759" s="3"/>
      <c r="Q759" s="3">
        <v>1.216</v>
      </c>
      <c r="R759" s="3" t="s">
        <v>13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89</v>
      </c>
      <c r="C760" s="3" t="s">
        <v>237</v>
      </c>
      <c r="D760" s="3"/>
      <c r="E760" s="3" t="s">
        <v>237</v>
      </c>
      <c r="F760" s="3"/>
      <c r="G760" s="3"/>
      <c r="H760" s="3"/>
      <c r="I760" s="3"/>
      <c r="J760" s="3"/>
      <c r="K760" s="3"/>
      <c r="L760" s="3" t="s">
        <v>90</v>
      </c>
      <c r="M760" s="3">
        <v>120</v>
      </c>
      <c r="N760" s="3" t="s">
        <v>238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89</v>
      </c>
      <c r="C761" s="3" t="s">
        <v>239</v>
      </c>
      <c r="D761" s="3"/>
      <c r="E761" s="3" t="s">
        <v>239</v>
      </c>
      <c r="F761" s="3"/>
      <c r="G761" s="3"/>
      <c r="H761" s="3"/>
      <c r="I761" s="3"/>
      <c r="J761" s="3"/>
      <c r="K761" s="3"/>
      <c r="L761" s="3" t="s">
        <v>90</v>
      </c>
      <c r="M761" s="3">
        <v>10</v>
      </c>
      <c r="N761" s="3" t="s">
        <v>326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89</v>
      </c>
      <c r="C762" s="3" t="s">
        <v>239</v>
      </c>
      <c r="D762" s="3"/>
      <c r="E762" s="3" t="s">
        <v>239</v>
      </c>
      <c r="F762" s="3"/>
      <c r="G762" s="3"/>
      <c r="H762" s="3"/>
      <c r="I762" s="3"/>
      <c r="J762" s="3"/>
      <c r="K762" s="3"/>
      <c r="L762" s="3" t="s">
        <v>90</v>
      </c>
      <c r="M762" s="3">
        <v>20</v>
      </c>
      <c r="N762" s="3" t="s">
        <v>109</v>
      </c>
      <c r="O762" s="3"/>
      <c r="P762" s="3"/>
      <c r="Q762" s="3">
        <v>2.0569999999999999</v>
      </c>
      <c r="R762" s="3" t="s">
        <v>15</v>
      </c>
      <c r="S762" s="3"/>
      <c r="T762" s="3">
        <v>10</v>
      </c>
      <c r="U762" s="3"/>
      <c r="V762" s="3" t="s">
        <v>16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89</v>
      </c>
      <c r="C763" s="3" t="s">
        <v>239</v>
      </c>
      <c r="D763" s="3"/>
      <c r="E763" s="3" t="s">
        <v>239</v>
      </c>
      <c r="F763" s="3"/>
      <c r="G763" s="3"/>
      <c r="H763" s="3"/>
      <c r="I763" s="3"/>
      <c r="J763" s="3"/>
      <c r="K763" s="3"/>
      <c r="L763" s="3" t="s">
        <v>90</v>
      </c>
      <c r="M763" s="3">
        <v>30</v>
      </c>
      <c r="N763" s="3" t="s">
        <v>110</v>
      </c>
      <c r="O763" s="3"/>
      <c r="P763" s="3"/>
      <c r="Q763" s="3">
        <v>2.0569999999999999</v>
      </c>
      <c r="R763" s="3" t="s">
        <v>15</v>
      </c>
      <c r="S763" s="3"/>
      <c r="T763" s="3">
        <v>10</v>
      </c>
      <c r="U763" s="3"/>
      <c r="V763" s="3" t="s">
        <v>16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89</v>
      </c>
      <c r="C764" s="3" t="s">
        <v>239</v>
      </c>
      <c r="D764" s="3"/>
      <c r="E764" s="3" t="s">
        <v>239</v>
      </c>
      <c r="F764" s="3"/>
      <c r="G764" s="3"/>
      <c r="H764" s="3"/>
      <c r="I764" s="3"/>
      <c r="J764" s="3"/>
      <c r="K764" s="3"/>
      <c r="L764" s="3" t="s">
        <v>90</v>
      </c>
      <c r="M764" s="3">
        <v>40</v>
      </c>
      <c r="N764" s="3" t="s">
        <v>105</v>
      </c>
      <c r="O764" s="3"/>
      <c r="P764" s="3"/>
      <c r="Q764" s="3">
        <v>0.32800000000000001</v>
      </c>
      <c r="R764" s="3" t="s">
        <v>106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89</v>
      </c>
      <c r="C765" s="3" t="s">
        <v>239</v>
      </c>
      <c r="D765" s="3"/>
      <c r="E765" s="3" t="s">
        <v>239</v>
      </c>
      <c r="F765" s="3"/>
      <c r="G765" s="3"/>
      <c r="H765" s="3"/>
      <c r="I765" s="3"/>
      <c r="J765" s="3"/>
      <c r="K765" s="3"/>
      <c r="L765" s="3" t="s">
        <v>90</v>
      </c>
      <c r="M765" s="3">
        <v>50</v>
      </c>
      <c r="N765" s="3" t="s">
        <v>107</v>
      </c>
      <c r="O765" s="3"/>
      <c r="P765" s="3"/>
      <c r="Q765" s="3">
        <v>12.802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89</v>
      </c>
      <c r="C766" s="3" t="s">
        <v>239</v>
      </c>
      <c r="D766" s="3"/>
      <c r="E766" s="3" t="s">
        <v>239</v>
      </c>
      <c r="F766" s="3"/>
      <c r="G766" s="3"/>
      <c r="H766" s="3"/>
      <c r="I766" s="3"/>
      <c r="J766" s="3"/>
      <c r="K766" s="3"/>
      <c r="L766" s="3" t="s">
        <v>90</v>
      </c>
      <c r="M766" s="3">
        <v>60</v>
      </c>
      <c r="N766" s="3" t="s">
        <v>18</v>
      </c>
      <c r="O766" s="3"/>
      <c r="P766" s="3"/>
      <c r="Q766" s="3">
        <v>78.73</v>
      </c>
      <c r="R766" s="3" t="s">
        <v>15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89</v>
      </c>
      <c r="C767" s="3" t="s">
        <v>239</v>
      </c>
      <c r="D767" s="3"/>
      <c r="E767" s="3" t="s">
        <v>239</v>
      </c>
      <c r="F767" s="3"/>
      <c r="G767" s="3"/>
      <c r="H767" s="3"/>
      <c r="I767" s="3"/>
      <c r="J767" s="3"/>
      <c r="K767" s="3"/>
      <c r="L767" s="3" t="s">
        <v>90</v>
      </c>
      <c r="M767" s="3">
        <v>70</v>
      </c>
      <c r="N767" s="3" t="s">
        <v>113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89</v>
      </c>
      <c r="C768" s="3" t="s">
        <v>239</v>
      </c>
      <c r="D768" s="3"/>
      <c r="E768" s="3" t="s">
        <v>239</v>
      </c>
      <c r="F768" s="3"/>
      <c r="G768" s="3"/>
      <c r="H768" s="3"/>
      <c r="I768" s="3"/>
      <c r="J768" s="3"/>
      <c r="K768" s="3"/>
      <c r="L768" s="3" t="s">
        <v>90</v>
      </c>
      <c r="M768" s="3">
        <v>80</v>
      </c>
      <c r="N768" s="3" t="s">
        <v>21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89</v>
      </c>
      <c r="C769" s="3" t="s">
        <v>239</v>
      </c>
      <c r="D769" s="3"/>
      <c r="E769" s="3" t="s">
        <v>239</v>
      </c>
      <c r="F769" s="3"/>
      <c r="G769" s="3"/>
      <c r="H769" s="3"/>
      <c r="I769" s="3"/>
      <c r="J769" s="3"/>
      <c r="K769" s="3"/>
      <c r="L769" s="3" t="s">
        <v>90</v>
      </c>
      <c r="M769" s="3">
        <v>90</v>
      </c>
      <c r="N769" s="3" t="s">
        <v>22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89</v>
      </c>
      <c r="C770" s="3" t="s">
        <v>239</v>
      </c>
      <c r="D770" s="3"/>
      <c r="E770" s="3" t="s">
        <v>239</v>
      </c>
      <c r="F770" s="3"/>
      <c r="G770" s="3"/>
      <c r="H770" s="3"/>
      <c r="I770" s="3"/>
      <c r="J770" s="3"/>
      <c r="K770" s="3"/>
      <c r="L770" s="3" t="s">
        <v>90</v>
      </c>
      <c r="M770" s="3">
        <v>100</v>
      </c>
      <c r="N770" s="3" t="s">
        <v>23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89</v>
      </c>
      <c r="C771" s="3" t="s">
        <v>239</v>
      </c>
      <c r="D771" s="3"/>
      <c r="E771" s="3" t="s">
        <v>239</v>
      </c>
      <c r="F771" s="3"/>
      <c r="G771" s="3"/>
      <c r="H771" s="3"/>
      <c r="I771" s="3"/>
      <c r="J771" s="3"/>
      <c r="K771" s="3"/>
      <c r="L771" s="3" t="s">
        <v>90</v>
      </c>
      <c r="M771" s="3">
        <v>110</v>
      </c>
      <c r="N771" s="3" t="s">
        <v>111</v>
      </c>
      <c r="O771" s="3"/>
      <c r="P771" s="3"/>
      <c r="Q771" s="3">
        <v>1.216</v>
      </c>
      <c r="R771" s="3" t="s">
        <v>13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89</v>
      </c>
      <c r="C772" s="3" t="s">
        <v>239</v>
      </c>
      <c r="D772" s="3"/>
      <c r="E772" s="3" t="s">
        <v>239</v>
      </c>
      <c r="F772" s="3"/>
      <c r="G772" s="3"/>
      <c r="H772" s="3"/>
      <c r="I772" s="3"/>
      <c r="J772" s="3"/>
      <c r="K772" s="3"/>
      <c r="L772" s="3" t="s">
        <v>90</v>
      </c>
      <c r="M772" s="3">
        <v>120</v>
      </c>
      <c r="N772" s="3" t="s">
        <v>240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89</v>
      </c>
      <c r="C773" s="3" t="s">
        <v>241</v>
      </c>
      <c r="D773" s="3"/>
      <c r="E773" s="3" t="s">
        <v>241</v>
      </c>
      <c r="F773" s="3"/>
      <c r="G773" s="3"/>
      <c r="H773" s="3"/>
      <c r="I773" s="3"/>
      <c r="J773" s="3"/>
      <c r="K773" s="3"/>
      <c r="L773" s="3" t="s">
        <v>90</v>
      </c>
      <c r="M773" s="3">
        <v>10</v>
      </c>
      <c r="N773" s="3" t="s">
        <v>327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89</v>
      </c>
      <c r="C774" s="3" t="s">
        <v>241</v>
      </c>
      <c r="D774" s="3"/>
      <c r="E774" s="3" t="s">
        <v>241</v>
      </c>
      <c r="F774" s="3"/>
      <c r="G774" s="3"/>
      <c r="H774" s="3"/>
      <c r="I774" s="3"/>
      <c r="J774" s="3"/>
      <c r="K774" s="3"/>
      <c r="L774" s="3" t="s">
        <v>90</v>
      </c>
      <c r="M774" s="3">
        <v>20</v>
      </c>
      <c r="N774" s="3" t="s">
        <v>109</v>
      </c>
      <c r="O774" s="3"/>
      <c r="P774" s="3"/>
      <c r="Q774" s="3">
        <v>2.0569999999999999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89</v>
      </c>
      <c r="C775" s="3" t="s">
        <v>241</v>
      </c>
      <c r="D775" s="3"/>
      <c r="E775" s="3" t="s">
        <v>241</v>
      </c>
      <c r="F775" s="3"/>
      <c r="G775" s="3"/>
      <c r="H775" s="3"/>
      <c r="I775" s="3"/>
      <c r="J775" s="3"/>
      <c r="K775" s="3"/>
      <c r="L775" s="3" t="s">
        <v>90</v>
      </c>
      <c r="M775" s="3">
        <v>30</v>
      </c>
      <c r="N775" s="3" t="s">
        <v>110</v>
      </c>
      <c r="O775" s="3"/>
      <c r="P775" s="3"/>
      <c r="Q775" s="3">
        <v>2.0569999999999999</v>
      </c>
      <c r="R775" s="3" t="s">
        <v>15</v>
      </c>
      <c r="S775" s="3"/>
      <c r="T775" s="3">
        <v>10</v>
      </c>
      <c r="U775" s="3"/>
      <c r="V775" s="3" t="s">
        <v>16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89</v>
      </c>
      <c r="C776" s="3" t="s">
        <v>241</v>
      </c>
      <c r="D776" s="3"/>
      <c r="E776" s="3" t="s">
        <v>241</v>
      </c>
      <c r="F776" s="3"/>
      <c r="G776" s="3"/>
      <c r="H776" s="3"/>
      <c r="I776" s="3"/>
      <c r="J776" s="3"/>
      <c r="K776" s="3"/>
      <c r="L776" s="3" t="s">
        <v>90</v>
      </c>
      <c r="M776" s="3">
        <v>40</v>
      </c>
      <c r="N776" s="3" t="s">
        <v>105</v>
      </c>
      <c r="O776" s="3"/>
      <c r="P776" s="3"/>
      <c r="Q776" s="3">
        <v>0.376</v>
      </c>
      <c r="R776" s="3" t="s">
        <v>106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89</v>
      </c>
      <c r="C777" s="3" t="s">
        <v>241</v>
      </c>
      <c r="D777" s="3"/>
      <c r="E777" s="3" t="s">
        <v>241</v>
      </c>
      <c r="F777" s="3"/>
      <c r="G777" s="3"/>
      <c r="H777" s="3"/>
      <c r="I777" s="3"/>
      <c r="J777" s="3"/>
      <c r="K777" s="3"/>
      <c r="L777" s="3" t="s">
        <v>90</v>
      </c>
      <c r="M777" s="3">
        <v>50</v>
      </c>
      <c r="N777" s="3" t="s">
        <v>107</v>
      </c>
      <c r="O777" s="3"/>
      <c r="P777" s="3"/>
      <c r="Q777" s="3">
        <v>13.411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89</v>
      </c>
      <c r="C778" s="3" t="s">
        <v>241</v>
      </c>
      <c r="D778" s="3"/>
      <c r="E778" s="3" t="s">
        <v>241</v>
      </c>
      <c r="F778" s="3"/>
      <c r="G778" s="3"/>
      <c r="H778" s="3"/>
      <c r="I778" s="3"/>
      <c r="J778" s="3"/>
      <c r="K778" s="3"/>
      <c r="L778" s="3" t="s">
        <v>90</v>
      </c>
      <c r="M778" s="3">
        <v>60</v>
      </c>
      <c r="N778" s="3" t="s">
        <v>18</v>
      </c>
      <c r="O778" s="3"/>
      <c r="P778" s="3"/>
      <c r="Q778" s="3">
        <v>82.478999999999999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89</v>
      </c>
      <c r="C779" s="3" t="s">
        <v>241</v>
      </c>
      <c r="D779" s="3"/>
      <c r="E779" s="3" t="s">
        <v>241</v>
      </c>
      <c r="F779" s="3"/>
      <c r="G779" s="3"/>
      <c r="H779" s="3"/>
      <c r="I779" s="3"/>
      <c r="J779" s="3"/>
      <c r="K779" s="3"/>
      <c r="L779" s="3" t="s">
        <v>90</v>
      </c>
      <c r="M779" s="3">
        <v>70</v>
      </c>
      <c r="N779" s="3" t="s">
        <v>113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89</v>
      </c>
      <c r="C780" s="3" t="s">
        <v>241</v>
      </c>
      <c r="D780" s="3"/>
      <c r="E780" s="3" t="s">
        <v>241</v>
      </c>
      <c r="F780" s="3"/>
      <c r="G780" s="3"/>
      <c r="H780" s="3"/>
      <c r="I780" s="3"/>
      <c r="J780" s="3"/>
      <c r="K780" s="3"/>
      <c r="L780" s="3" t="s">
        <v>90</v>
      </c>
      <c r="M780" s="3">
        <v>80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89</v>
      </c>
      <c r="C781" s="3" t="s">
        <v>241</v>
      </c>
      <c r="D781" s="3"/>
      <c r="E781" s="3" t="s">
        <v>241</v>
      </c>
      <c r="F781" s="3"/>
      <c r="G781" s="3"/>
      <c r="H781" s="3"/>
      <c r="I781" s="3"/>
      <c r="J781" s="3"/>
      <c r="K781" s="3"/>
      <c r="L781" s="3" t="s">
        <v>90</v>
      </c>
      <c r="M781" s="3">
        <v>90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89</v>
      </c>
      <c r="C782" s="3" t="s">
        <v>241</v>
      </c>
      <c r="D782" s="3"/>
      <c r="E782" s="3" t="s">
        <v>241</v>
      </c>
      <c r="F782" s="3"/>
      <c r="G782" s="3"/>
      <c r="H782" s="3"/>
      <c r="I782" s="3"/>
      <c r="J782" s="3"/>
      <c r="K782" s="3"/>
      <c r="L782" s="3" t="s">
        <v>90</v>
      </c>
      <c r="M782" s="3">
        <v>100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89</v>
      </c>
      <c r="C783" s="3" t="s">
        <v>241</v>
      </c>
      <c r="D783" s="3"/>
      <c r="E783" s="3" t="s">
        <v>241</v>
      </c>
      <c r="F783" s="3"/>
      <c r="G783" s="3"/>
      <c r="H783" s="3"/>
      <c r="I783" s="3"/>
      <c r="J783" s="3"/>
      <c r="K783" s="3"/>
      <c r="L783" s="3" t="s">
        <v>90</v>
      </c>
      <c r="M783" s="3">
        <v>110</v>
      </c>
      <c r="N783" s="3" t="s">
        <v>111</v>
      </c>
      <c r="O783" s="3"/>
      <c r="P783" s="3"/>
      <c r="Q783" s="3">
        <v>1.216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89</v>
      </c>
      <c r="C784" s="3" t="s">
        <v>241</v>
      </c>
      <c r="D784" s="3"/>
      <c r="E784" s="3" t="s">
        <v>241</v>
      </c>
      <c r="F784" s="3"/>
      <c r="G784" s="3"/>
      <c r="H784" s="3"/>
      <c r="I784" s="3"/>
      <c r="J784" s="3"/>
      <c r="K784" s="3"/>
      <c r="L784" s="3" t="s">
        <v>90</v>
      </c>
      <c r="M784" s="3">
        <v>120</v>
      </c>
      <c r="N784" s="3" t="s">
        <v>242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89</v>
      </c>
      <c r="C785" s="3" t="s">
        <v>243</v>
      </c>
      <c r="D785" s="3"/>
      <c r="E785" s="3" t="s">
        <v>243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328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89</v>
      </c>
      <c r="C786" s="3" t="s">
        <v>243</v>
      </c>
      <c r="D786" s="3"/>
      <c r="E786" s="3" t="s">
        <v>243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109</v>
      </c>
      <c r="O786" s="3"/>
      <c r="P786" s="3"/>
      <c r="Q786" s="3">
        <v>2.0569999999999999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89</v>
      </c>
      <c r="C787" s="3" t="s">
        <v>243</v>
      </c>
      <c r="D787" s="3"/>
      <c r="E787" s="3" t="s">
        <v>243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110</v>
      </c>
      <c r="O787" s="3"/>
      <c r="P787" s="3"/>
      <c r="Q787" s="3">
        <v>2.0569999999999999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89</v>
      </c>
      <c r="C788" s="3" t="s">
        <v>243</v>
      </c>
      <c r="D788" s="3"/>
      <c r="E788" s="3" t="s">
        <v>243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105</v>
      </c>
      <c r="O788" s="3"/>
      <c r="P788" s="3"/>
      <c r="Q788" s="3">
        <v>0.47199999999999998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89</v>
      </c>
      <c r="C789" s="3" t="s">
        <v>243</v>
      </c>
      <c r="D789" s="3"/>
      <c r="E789" s="3" t="s">
        <v>243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107</v>
      </c>
      <c r="O789" s="3"/>
      <c r="P789" s="3"/>
      <c r="Q789" s="3">
        <v>14.63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89</v>
      </c>
      <c r="C790" s="3" t="s">
        <v>243</v>
      </c>
      <c r="D790" s="3"/>
      <c r="E790" s="3" t="s">
        <v>243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18</v>
      </c>
      <c r="O790" s="3"/>
      <c r="P790" s="3"/>
      <c r="Q790" s="3">
        <v>89.977000000000004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89</v>
      </c>
      <c r="C791" s="3" t="s">
        <v>243</v>
      </c>
      <c r="D791" s="3"/>
      <c r="E791" s="3" t="s">
        <v>243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113</v>
      </c>
      <c r="O791" s="3"/>
      <c r="P791" s="3"/>
      <c r="Q791" s="3">
        <v>4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89</v>
      </c>
      <c r="C792" s="3" t="s">
        <v>243</v>
      </c>
      <c r="D792" s="3"/>
      <c r="E792" s="3" t="s">
        <v>243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21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89</v>
      </c>
      <c r="C793" s="3" t="s">
        <v>243</v>
      </c>
      <c r="D793" s="3"/>
      <c r="E793" s="3" t="s">
        <v>243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22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89</v>
      </c>
      <c r="C794" s="3" t="s">
        <v>243</v>
      </c>
      <c r="D794" s="3"/>
      <c r="E794" s="3" t="s">
        <v>243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23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89</v>
      </c>
      <c r="C795" s="3" t="s">
        <v>243</v>
      </c>
      <c r="D795" s="3"/>
      <c r="E795" s="3" t="s">
        <v>243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111</v>
      </c>
      <c r="O795" s="3"/>
      <c r="P795" s="3"/>
      <c r="Q795" s="3">
        <v>1.216</v>
      </c>
      <c r="R795" s="3" t="s">
        <v>13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89</v>
      </c>
      <c r="C796" s="3" t="s">
        <v>243</v>
      </c>
      <c r="D796" s="3"/>
      <c r="E796" s="3" t="s">
        <v>243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244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16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89</v>
      </c>
      <c r="C797" s="3" t="s">
        <v>245</v>
      </c>
      <c r="D797" s="3"/>
      <c r="E797" s="3" t="s">
        <v>245</v>
      </c>
      <c r="F797" s="3"/>
      <c r="G797" s="3"/>
      <c r="H797" s="3"/>
      <c r="I797" s="3"/>
      <c r="J797" s="3"/>
      <c r="K797" s="3"/>
      <c r="L797" s="3" t="s">
        <v>90</v>
      </c>
      <c r="M797" s="3">
        <v>10</v>
      </c>
      <c r="N797" s="3" t="s">
        <v>329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89</v>
      </c>
      <c r="C798" s="3" t="s">
        <v>245</v>
      </c>
      <c r="D798" s="3"/>
      <c r="E798" s="3" t="s">
        <v>245</v>
      </c>
      <c r="F798" s="3"/>
      <c r="G798" s="3"/>
      <c r="H798" s="3"/>
      <c r="I798" s="3"/>
      <c r="J798" s="3"/>
      <c r="K798" s="3"/>
      <c r="L798" s="3" t="s">
        <v>90</v>
      </c>
      <c r="M798" s="3">
        <v>20</v>
      </c>
      <c r="N798" s="3" t="s">
        <v>109</v>
      </c>
      <c r="O798" s="3"/>
      <c r="P798" s="3"/>
      <c r="Q798" s="3">
        <v>2.0569999999999999</v>
      </c>
      <c r="R798" s="3" t="s">
        <v>15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89</v>
      </c>
      <c r="C799" s="3" t="s">
        <v>245</v>
      </c>
      <c r="D799" s="3"/>
      <c r="E799" s="3" t="s">
        <v>245</v>
      </c>
      <c r="F799" s="3"/>
      <c r="G799" s="3"/>
      <c r="H799" s="3"/>
      <c r="I799" s="3"/>
      <c r="J799" s="3"/>
      <c r="K799" s="3"/>
      <c r="L799" s="3" t="s">
        <v>90</v>
      </c>
      <c r="M799" s="3">
        <v>30</v>
      </c>
      <c r="N799" s="3" t="s">
        <v>110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89</v>
      </c>
      <c r="C800" s="3" t="s">
        <v>245</v>
      </c>
      <c r="D800" s="3"/>
      <c r="E800" s="3" t="s">
        <v>245</v>
      </c>
      <c r="F800" s="3"/>
      <c r="G800" s="3"/>
      <c r="H800" s="3"/>
      <c r="I800" s="3"/>
      <c r="J800" s="3"/>
      <c r="K800" s="3"/>
      <c r="L800" s="3" t="s">
        <v>90</v>
      </c>
      <c r="M800" s="3">
        <v>40</v>
      </c>
      <c r="N800" s="3" t="s">
        <v>105</v>
      </c>
      <c r="O800" s="3"/>
      <c r="P800" s="3"/>
      <c r="Q800" s="3">
        <v>0.52</v>
      </c>
      <c r="R800" s="3" t="s">
        <v>106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89</v>
      </c>
      <c r="C801" s="3" t="s">
        <v>245</v>
      </c>
      <c r="D801" s="3"/>
      <c r="E801" s="3" t="s">
        <v>245</v>
      </c>
      <c r="F801" s="3"/>
      <c r="G801" s="3"/>
      <c r="H801" s="3"/>
      <c r="I801" s="3"/>
      <c r="J801" s="3"/>
      <c r="K801" s="3"/>
      <c r="L801" s="3" t="s">
        <v>90</v>
      </c>
      <c r="M801" s="3">
        <v>50</v>
      </c>
      <c r="N801" s="3" t="s">
        <v>107</v>
      </c>
      <c r="O801" s="3"/>
      <c r="P801" s="3"/>
      <c r="Q801" s="3">
        <v>15.24</v>
      </c>
      <c r="R801" s="3" t="s">
        <v>15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89</v>
      </c>
      <c r="C802" s="3" t="s">
        <v>245</v>
      </c>
      <c r="D802" s="3"/>
      <c r="E802" s="3" t="s">
        <v>245</v>
      </c>
      <c r="F802" s="3"/>
      <c r="G802" s="3"/>
      <c r="H802" s="3"/>
      <c r="I802" s="3"/>
      <c r="J802" s="3"/>
      <c r="K802" s="3"/>
      <c r="L802" s="3" t="s">
        <v>90</v>
      </c>
      <c r="M802" s="3">
        <v>60</v>
      </c>
      <c r="N802" s="3" t="s">
        <v>18</v>
      </c>
      <c r="O802" s="3"/>
      <c r="P802" s="3"/>
      <c r="Q802" s="3">
        <v>93.725999999999999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89</v>
      </c>
      <c r="C803" s="3" t="s">
        <v>245</v>
      </c>
      <c r="D803" s="3"/>
      <c r="E803" s="3" t="s">
        <v>245</v>
      </c>
      <c r="F803" s="3"/>
      <c r="G803" s="3"/>
      <c r="H803" s="3"/>
      <c r="I803" s="3"/>
      <c r="J803" s="3"/>
      <c r="K803" s="3"/>
      <c r="L803" s="3" t="s">
        <v>90</v>
      </c>
      <c r="M803" s="3">
        <v>70</v>
      </c>
      <c r="N803" s="3" t="s">
        <v>113</v>
      </c>
      <c r="O803" s="3"/>
      <c r="P803" s="3"/>
      <c r="Q803" s="3">
        <v>4</v>
      </c>
      <c r="R803" s="3" t="s">
        <v>11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89</v>
      </c>
      <c r="C804" s="3" t="s">
        <v>245</v>
      </c>
      <c r="D804" s="3"/>
      <c r="E804" s="3" t="s">
        <v>245</v>
      </c>
      <c r="F804" s="3"/>
      <c r="G804" s="3"/>
      <c r="H804" s="3"/>
      <c r="I804" s="3"/>
      <c r="J804" s="3"/>
      <c r="K804" s="3"/>
      <c r="L804" s="3" t="s">
        <v>90</v>
      </c>
      <c r="M804" s="3">
        <v>80</v>
      </c>
      <c r="N804" s="3" t="s">
        <v>21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89</v>
      </c>
      <c r="C805" s="3" t="s">
        <v>245</v>
      </c>
      <c r="D805" s="3"/>
      <c r="E805" s="3" t="s">
        <v>245</v>
      </c>
      <c r="F805" s="3"/>
      <c r="G805" s="3"/>
      <c r="H805" s="3"/>
      <c r="I805" s="3"/>
      <c r="J805" s="3"/>
      <c r="K805" s="3"/>
      <c r="L805" s="3" t="s">
        <v>90</v>
      </c>
      <c r="M805" s="3">
        <v>90</v>
      </c>
      <c r="N805" s="3" t="s">
        <v>22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89</v>
      </c>
      <c r="C806" s="3" t="s">
        <v>245</v>
      </c>
      <c r="D806" s="3"/>
      <c r="E806" s="3" t="s">
        <v>245</v>
      </c>
      <c r="F806" s="3"/>
      <c r="G806" s="3"/>
      <c r="H806" s="3"/>
      <c r="I806" s="3"/>
      <c r="J806" s="3"/>
      <c r="K806" s="3"/>
      <c r="L806" s="3" t="s">
        <v>90</v>
      </c>
      <c r="M806" s="3">
        <v>100</v>
      </c>
      <c r="N806" s="3" t="s">
        <v>23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89</v>
      </c>
      <c r="C807" s="3" t="s">
        <v>245</v>
      </c>
      <c r="D807" s="3"/>
      <c r="E807" s="3" t="s">
        <v>245</v>
      </c>
      <c r="F807" s="3"/>
      <c r="G807" s="3"/>
      <c r="H807" s="3"/>
      <c r="I807" s="3"/>
      <c r="J807" s="3"/>
      <c r="K807" s="3"/>
      <c r="L807" s="3" t="s">
        <v>90</v>
      </c>
      <c r="M807" s="3">
        <v>110</v>
      </c>
      <c r="N807" s="3" t="s">
        <v>111</v>
      </c>
      <c r="O807" s="3"/>
      <c r="P807" s="3"/>
      <c r="Q807" s="3">
        <v>1.216</v>
      </c>
      <c r="R807" s="3" t="s">
        <v>13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89</v>
      </c>
      <c r="C808" s="3" t="s">
        <v>245</v>
      </c>
      <c r="D808" s="3"/>
      <c r="E808" s="3" t="s">
        <v>245</v>
      </c>
      <c r="F808" s="3"/>
      <c r="G808" s="3"/>
      <c r="H808" s="3"/>
      <c r="I808" s="3"/>
      <c r="J808" s="3"/>
      <c r="K808" s="3"/>
      <c r="L808" s="3" t="s">
        <v>90</v>
      </c>
      <c r="M808" s="3">
        <v>120</v>
      </c>
      <c r="N808" s="3" t="s">
        <v>246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16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89</v>
      </c>
      <c r="C809" s="3" t="s">
        <v>247</v>
      </c>
      <c r="D809" s="3"/>
      <c r="E809" s="3" t="s">
        <v>247</v>
      </c>
      <c r="F809" s="3"/>
      <c r="G809" s="3"/>
      <c r="H809" s="3"/>
      <c r="I809" s="3"/>
      <c r="J809" s="3"/>
      <c r="K809" s="3"/>
      <c r="L809" s="3" t="s">
        <v>90</v>
      </c>
      <c r="M809" s="3">
        <v>10</v>
      </c>
      <c r="N809" s="3" t="s">
        <v>330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16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89</v>
      </c>
      <c r="C810" s="3" t="s">
        <v>247</v>
      </c>
      <c r="D810" s="3"/>
      <c r="E810" s="3" t="s">
        <v>247</v>
      </c>
      <c r="F810" s="3"/>
      <c r="G810" s="3"/>
      <c r="H810" s="3"/>
      <c r="I810" s="3"/>
      <c r="J810" s="3"/>
      <c r="K810" s="3"/>
      <c r="L810" s="3" t="s">
        <v>90</v>
      </c>
      <c r="M810" s="3">
        <v>20</v>
      </c>
      <c r="N810" s="3" t="s">
        <v>109</v>
      </c>
      <c r="O810" s="3"/>
      <c r="P810" s="3"/>
      <c r="Q810" s="3">
        <v>2.0569999999999999</v>
      </c>
      <c r="R810" s="3" t="s">
        <v>15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89</v>
      </c>
      <c r="C811" s="3" t="s">
        <v>247</v>
      </c>
      <c r="D811" s="3"/>
      <c r="E811" s="3" t="s">
        <v>247</v>
      </c>
      <c r="F811" s="3"/>
      <c r="G811" s="3"/>
      <c r="H811" s="3"/>
      <c r="I811" s="3"/>
      <c r="J811" s="3"/>
      <c r="K811" s="3"/>
      <c r="L811" s="3" t="s">
        <v>90</v>
      </c>
      <c r="M811" s="3">
        <v>30</v>
      </c>
      <c r="N811" s="3" t="s">
        <v>110</v>
      </c>
      <c r="O811" s="3"/>
      <c r="P811" s="3"/>
      <c r="Q811" s="3">
        <v>2.0569999999999999</v>
      </c>
      <c r="R811" s="3" t="s">
        <v>15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89</v>
      </c>
      <c r="C812" s="3" t="s">
        <v>247</v>
      </c>
      <c r="D812" s="3"/>
      <c r="E812" s="3" t="s">
        <v>247</v>
      </c>
      <c r="F812" s="3"/>
      <c r="G812" s="3"/>
      <c r="H812" s="3"/>
      <c r="I812" s="3"/>
      <c r="J812" s="3"/>
      <c r="K812" s="3"/>
      <c r="L812" s="3" t="s">
        <v>90</v>
      </c>
      <c r="M812" s="3">
        <v>40</v>
      </c>
      <c r="N812" s="3" t="s">
        <v>105</v>
      </c>
      <c r="O812" s="3"/>
      <c r="P812" s="3"/>
      <c r="Q812" s="3">
        <v>0.56799999999999995</v>
      </c>
      <c r="R812" s="3" t="s">
        <v>106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89</v>
      </c>
      <c r="C813" s="3" t="s">
        <v>247</v>
      </c>
      <c r="D813" s="3"/>
      <c r="E813" s="3" t="s">
        <v>247</v>
      </c>
      <c r="F813" s="3"/>
      <c r="G813" s="3"/>
      <c r="H813" s="3"/>
      <c r="I813" s="3"/>
      <c r="J813" s="3"/>
      <c r="K813" s="3"/>
      <c r="L813" s="3" t="s">
        <v>90</v>
      </c>
      <c r="M813" s="3">
        <v>50</v>
      </c>
      <c r="N813" s="3" t="s">
        <v>107</v>
      </c>
      <c r="O813" s="3"/>
      <c r="P813" s="3"/>
      <c r="Q813" s="3">
        <v>15.85</v>
      </c>
      <c r="R813" s="3" t="s">
        <v>15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89</v>
      </c>
      <c r="C814" s="3" t="s">
        <v>247</v>
      </c>
      <c r="D814" s="3"/>
      <c r="E814" s="3" t="s">
        <v>247</v>
      </c>
      <c r="F814" s="3"/>
      <c r="G814" s="3"/>
      <c r="H814" s="3"/>
      <c r="I814" s="3"/>
      <c r="J814" s="3"/>
      <c r="K814" s="3"/>
      <c r="L814" s="3" t="s">
        <v>90</v>
      </c>
      <c r="M814" s="3">
        <v>60</v>
      </c>
      <c r="N814" s="3" t="s">
        <v>18</v>
      </c>
      <c r="O814" s="3"/>
      <c r="P814" s="3"/>
      <c r="Q814" s="3">
        <v>97.474999999999994</v>
      </c>
      <c r="R814" s="3" t="s">
        <v>15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89</v>
      </c>
      <c r="C815" s="3" t="s">
        <v>247</v>
      </c>
      <c r="D815" s="3"/>
      <c r="E815" s="3" t="s">
        <v>247</v>
      </c>
      <c r="F815" s="3"/>
      <c r="G815" s="3"/>
      <c r="H815" s="3"/>
      <c r="I815" s="3"/>
      <c r="J815" s="3"/>
      <c r="K815" s="3"/>
      <c r="L815" s="3" t="s">
        <v>90</v>
      </c>
      <c r="M815" s="3">
        <v>70</v>
      </c>
      <c r="N815" s="3" t="s">
        <v>113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89</v>
      </c>
      <c r="C816" s="3" t="s">
        <v>247</v>
      </c>
      <c r="D816" s="3"/>
      <c r="E816" s="3" t="s">
        <v>247</v>
      </c>
      <c r="F816" s="3"/>
      <c r="G816" s="3"/>
      <c r="H816" s="3"/>
      <c r="I816" s="3"/>
      <c r="J816" s="3"/>
      <c r="K816" s="3"/>
      <c r="L816" s="3" t="s">
        <v>90</v>
      </c>
      <c r="M816" s="3">
        <v>80</v>
      </c>
      <c r="N816" s="3" t="s">
        <v>21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89</v>
      </c>
      <c r="C817" s="3" t="s">
        <v>247</v>
      </c>
      <c r="D817" s="3"/>
      <c r="E817" s="3" t="s">
        <v>247</v>
      </c>
      <c r="F817" s="3"/>
      <c r="G817" s="3"/>
      <c r="H817" s="3"/>
      <c r="I817" s="3"/>
      <c r="J817" s="3"/>
      <c r="K817" s="3"/>
      <c r="L817" s="3" t="s">
        <v>90</v>
      </c>
      <c r="M817" s="3">
        <v>90</v>
      </c>
      <c r="N817" s="3" t="s">
        <v>22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89</v>
      </c>
      <c r="C818" s="3" t="s">
        <v>247</v>
      </c>
      <c r="D818" s="3"/>
      <c r="E818" s="3" t="s">
        <v>247</v>
      </c>
      <c r="F818" s="3"/>
      <c r="G818" s="3"/>
      <c r="H818" s="3"/>
      <c r="I818" s="3"/>
      <c r="J818" s="3"/>
      <c r="K818" s="3"/>
      <c r="L818" s="3" t="s">
        <v>90</v>
      </c>
      <c r="M818" s="3">
        <v>100</v>
      </c>
      <c r="N818" s="3" t="s">
        <v>23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89</v>
      </c>
      <c r="C819" s="3" t="s">
        <v>247</v>
      </c>
      <c r="D819" s="3"/>
      <c r="E819" s="3" t="s">
        <v>247</v>
      </c>
      <c r="F819" s="3"/>
      <c r="G819" s="3"/>
      <c r="H819" s="3"/>
      <c r="I819" s="3"/>
      <c r="J819" s="3"/>
      <c r="K819" s="3"/>
      <c r="L819" s="3" t="s">
        <v>90</v>
      </c>
      <c r="M819" s="3">
        <v>110</v>
      </c>
      <c r="N819" s="3" t="s">
        <v>111</v>
      </c>
      <c r="O819" s="3"/>
      <c r="P819" s="3"/>
      <c r="Q819" s="3">
        <v>1.216</v>
      </c>
      <c r="R819" s="3" t="s">
        <v>13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89</v>
      </c>
      <c r="C820" s="3" t="s">
        <v>247</v>
      </c>
      <c r="D820" s="3"/>
      <c r="E820" s="3" t="s">
        <v>247</v>
      </c>
      <c r="F820" s="3"/>
      <c r="G820" s="3"/>
      <c r="H820" s="3"/>
      <c r="I820" s="3"/>
      <c r="J820" s="3"/>
      <c r="K820" s="3"/>
      <c r="L820" s="3" t="s">
        <v>90</v>
      </c>
      <c r="M820" s="3">
        <v>120</v>
      </c>
      <c r="N820" s="3" t="s">
        <v>248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89</v>
      </c>
      <c r="C821" s="3" t="s">
        <v>249</v>
      </c>
      <c r="D821" s="3"/>
      <c r="E821" s="3" t="s">
        <v>249</v>
      </c>
      <c r="F821" s="3"/>
      <c r="G821" s="3"/>
      <c r="H821" s="3"/>
      <c r="I821" s="3"/>
      <c r="J821" s="3"/>
      <c r="K821" s="3"/>
      <c r="L821" s="3" t="s">
        <v>90</v>
      </c>
      <c r="M821" s="3">
        <v>10</v>
      </c>
      <c r="N821" s="3" t="s">
        <v>331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16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89</v>
      </c>
      <c r="C822" s="3" t="s">
        <v>249</v>
      </c>
      <c r="D822" s="3"/>
      <c r="E822" s="3" t="s">
        <v>249</v>
      </c>
      <c r="F822" s="3"/>
      <c r="G822" s="3"/>
      <c r="H822" s="3"/>
      <c r="I822" s="3"/>
      <c r="J822" s="3"/>
      <c r="K822" s="3"/>
      <c r="L822" s="3" t="s">
        <v>90</v>
      </c>
      <c r="M822" s="3">
        <v>20</v>
      </c>
      <c r="N822" s="3" t="s">
        <v>109</v>
      </c>
      <c r="O822" s="3"/>
      <c r="P822" s="3"/>
      <c r="Q822" s="3">
        <v>2.1589999999999998</v>
      </c>
      <c r="R822" s="3" t="s">
        <v>15</v>
      </c>
      <c r="S822" s="3"/>
      <c r="T822" s="3">
        <v>10</v>
      </c>
      <c r="U822" s="3"/>
      <c r="V822" s="3" t="s">
        <v>16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89</v>
      </c>
      <c r="C823" s="3" t="s">
        <v>249</v>
      </c>
      <c r="D823" s="3"/>
      <c r="E823" s="3" t="s">
        <v>249</v>
      </c>
      <c r="F823" s="3"/>
      <c r="G823" s="3"/>
      <c r="H823" s="3"/>
      <c r="I823" s="3"/>
      <c r="J823" s="3"/>
      <c r="K823" s="3"/>
      <c r="L823" s="3" t="s">
        <v>90</v>
      </c>
      <c r="M823" s="3">
        <v>30</v>
      </c>
      <c r="N823" s="3" t="s">
        <v>110</v>
      </c>
      <c r="O823" s="3"/>
      <c r="P823" s="3"/>
      <c r="Q823" s="3">
        <v>2.1589999999999998</v>
      </c>
      <c r="R823" s="3" t="s">
        <v>15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89</v>
      </c>
      <c r="C824" s="3" t="s">
        <v>249</v>
      </c>
      <c r="D824" s="3"/>
      <c r="E824" s="3" t="s">
        <v>249</v>
      </c>
      <c r="F824" s="3"/>
      <c r="G824" s="3"/>
      <c r="H824" s="3"/>
      <c r="I824" s="3"/>
      <c r="J824" s="3"/>
      <c r="K824" s="3"/>
      <c r="L824" s="3" t="s">
        <v>90</v>
      </c>
      <c r="M824" s="3">
        <v>40</v>
      </c>
      <c r="N824" s="3" t="s">
        <v>105</v>
      </c>
      <c r="O824" s="3"/>
      <c r="P824" s="3"/>
      <c r="Q824" s="3">
        <v>0.24399999999999999</v>
      </c>
      <c r="R824" s="3" t="s">
        <v>106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89</v>
      </c>
      <c r="C825" s="3" t="s">
        <v>249</v>
      </c>
      <c r="D825" s="3"/>
      <c r="E825" s="3" t="s">
        <v>249</v>
      </c>
      <c r="F825" s="3"/>
      <c r="G825" s="3"/>
      <c r="H825" s="3"/>
      <c r="I825" s="3"/>
      <c r="J825" s="3"/>
      <c r="K825" s="3"/>
      <c r="L825" s="3" t="s">
        <v>90</v>
      </c>
      <c r="M825" s="3">
        <v>50</v>
      </c>
      <c r="N825" s="3" t="s">
        <v>107</v>
      </c>
      <c r="O825" s="3"/>
      <c r="P825" s="3"/>
      <c r="Q825" s="3">
        <v>11.989000000000001</v>
      </c>
      <c r="R825" s="3" t="s">
        <v>15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89</v>
      </c>
      <c r="C826" s="3" t="s">
        <v>249</v>
      </c>
      <c r="D826" s="3"/>
      <c r="E826" s="3" t="s">
        <v>249</v>
      </c>
      <c r="F826" s="3"/>
      <c r="G826" s="3"/>
      <c r="H826" s="3"/>
      <c r="I826" s="3"/>
      <c r="J826" s="3"/>
      <c r="K826" s="3"/>
      <c r="L826" s="3" t="s">
        <v>90</v>
      </c>
      <c r="M826" s="3">
        <v>60</v>
      </c>
      <c r="N826" s="3" t="s">
        <v>18</v>
      </c>
      <c r="O826" s="3"/>
      <c r="P826" s="3"/>
      <c r="Q826" s="3">
        <v>73.730999999999995</v>
      </c>
      <c r="R826" s="3" t="s">
        <v>15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89</v>
      </c>
      <c r="C827" s="3" t="s">
        <v>249</v>
      </c>
      <c r="D827" s="3"/>
      <c r="E827" s="3" t="s">
        <v>249</v>
      </c>
      <c r="F827" s="3"/>
      <c r="G827" s="3"/>
      <c r="H827" s="3"/>
      <c r="I827" s="3"/>
      <c r="J827" s="3"/>
      <c r="K827" s="3"/>
      <c r="L827" s="3" t="s">
        <v>90</v>
      </c>
      <c r="M827" s="3">
        <v>70</v>
      </c>
      <c r="N827" s="3" t="s">
        <v>113</v>
      </c>
      <c r="O827" s="3"/>
      <c r="P827" s="3"/>
      <c r="Q827" s="3">
        <v>4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89</v>
      </c>
      <c r="C828" s="3" t="s">
        <v>249</v>
      </c>
      <c r="D828" s="3"/>
      <c r="E828" s="3" t="s">
        <v>249</v>
      </c>
      <c r="F828" s="3"/>
      <c r="G828" s="3"/>
      <c r="H828" s="3"/>
      <c r="I828" s="3"/>
      <c r="J828" s="3"/>
      <c r="K828" s="3"/>
      <c r="L828" s="3" t="s">
        <v>90</v>
      </c>
      <c r="M828" s="3">
        <v>80</v>
      </c>
      <c r="N828" s="3" t="s">
        <v>21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89</v>
      </c>
      <c r="C829" s="3" t="s">
        <v>249</v>
      </c>
      <c r="D829" s="3"/>
      <c r="E829" s="3" t="s">
        <v>249</v>
      </c>
      <c r="F829" s="3"/>
      <c r="G829" s="3"/>
      <c r="H829" s="3"/>
      <c r="I829" s="3"/>
      <c r="J829" s="3"/>
      <c r="K829" s="3"/>
      <c r="L829" s="3" t="s">
        <v>90</v>
      </c>
      <c r="M829" s="3">
        <v>90</v>
      </c>
      <c r="N829" s="3" t="s">
        <v>22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89</v>
      </c>
      <c r="C830" s="3" t="s">
        <v>249</v>
      </c>
      <c r="D830" s="3"/>
      <c r="E830" s="3" t="s">
        <v>249</v>
      </c>
      <c r="F830" s="3"/>
      <c r="G830" s="3"/>
      <c r="H830" s="3"/>
      <c r="I830" s="3"/>
      <c r="J830" s="3"/>
      <c r="K830" s="3"/>
      <c r="L830" s="3" t="s">
        <v>90</v>
      </c>
      <c r="M830" s="3">
        <v>100</v>
      </c>
      <c r="N830" s="3" t="s">
        <v>23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89</v>
      </c>
      <c r="C831" s="3" t="s">
        <v>249</v>
      </c>
      <c r="D831" s="3"/>
      <c r="E831" s="3" t="s">
        <v>249</v>
      </c>
      <c r="F831" s="3"/>
      <c r="G831" s="3"/>
      <c r="H831" s="3"/>
      <c r="I831" s="3"/>
      <c r="J831" s="3"/>
      <c r="K831" s="3"/>
      <c r="L831" s="3" t="s">
        <v>90</v>
      </c>
      <c r="M831" s="3">
        <v>110</v>
      </c>
      <c r="N831" s="3" t="s">
        <v>111</v>
      </c>
      <c r="O831" s="3"/>
      <c r="P831" s="3"/>
      <c r="Q831" s="3">
        <v>1.27</v>
      </c>
      <c r="R831" s="3" t="s">
        <v>13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89</v>
      </c>
      <c r="C832" s="3" t="s">
        <v>249</v>
      </c>
      <c r="D832" s="3"/>
      <c r="E832" s="3" t="s">
        <v>249</v>
      </c>
      <c r="F832" s="3"/>
      <c r="G832" s="3"/>
      <c r="H832" s="3"/>
      <c r="I832" s="3"/>
      <c r="J832" s="3"/>
      <c r="K832" s="3"/>
      <c r="L832" s="3" t="s">
        <v>90</v>
      </c>
      <c r="M832" s="3">
        <v>120</v>
      </c>
      <c r="N832" s="3" t="s">
        <v>250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16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89</v>
      </c>
      <c r="C833" s="3" t="s">
        <v>251</v>
      </c>
      <c r="D833" s="3"/>
      <c r="E833" s="3" t="s">
        <v>251</v>
      </c>
      <c r="F833" s="3"/>
      <c r="G833" s="3"/>
      <c r="H833" s="3"/>
      <c r="I833" s="3"/>
      <c r="J833" s="3"/>
      <c r="K833" s="3"/>
      <c r="L833" s="3" t="s">
        <v>90</v>
      </c>
      <c r="M833" s="3">
        <v>10</v>
      </c>
      <c r="N833" s="3" t="s">
        <v>332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89</v>
      </c>
      <c r="C834" s="3" t="s">
        <v>251</v>
      </c>
      <c r="D834" s="3"/>
      <c r="E834" s="3" t="s">
        <v>251</v>
      </c>
      <c r="F834" s="3"/>
      <c r="G834" s="3"/>
      <c r="H834" s="3"/>
      <c r="I834" s="3"/>
      <c r="J834" s="3"/>
      <c r="K834" s="3"/>
      <c r="L834" s="3" t="s">
        <v>90</v>
      </c>
      <c r="M834" s="3">
        <v>20</v>
      </c>
      <c r="N834" s="3" t="s">
        <v>109</v>
      </c>
      <c r="O834" s="3"/>
      <c r="P834" s="3"/>
      <c r="Q834" s="3">
        <v>2.1589999999999998</v>
      </c>
      <c r="R834" s="3" t="s">
        <v>15</v>
      </c>
      <c r="S834" s="3"/>
      <c r="T834" s="3">
        <v>10</v>
      </c>
      <c r="U834" s="3"/>
      <c r="V834" s="3" t="s">
        <v>16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89</v>
      </c>
      <c r="C835" s="3" t="s">
        <v>251</v>
      </c>
      <c r="D835" s="3"/>
      <c r="E835" s="3" t="s">
        <v>251</v>
      </c>
      <c r="F835" s="3"/>
      <c r="G835" s="3"/>
      <c r="H835" s="3"/>
      <c r="I835" s="3"/>
      <c r="J835" s="3"/>
      <c r="K835" s="3"/>
      <c r="L835" s="3" t="s">
        <v>90</v>
      </c>
      <c r="M835" s="3">
        <v>30</v>
      </c>
      <c r="N835" s="3" t="s">
        <v>110</v>
      </c>
      <c r="O835" s="3"/>
      <c r="P835" s="3"/>
      <c r="Q835" s="3">
        <v>2.1589999999999998</v>
      </c>
      <c r="R835" s="3" t="s">
        <v>15</v>
      </c>
      <c r="S835" s="3"/>
      <c r="T835" s="3">
        <v>10</v>
      </c>
      <c r="U835" s="3"/>
      <c r="V835" s="3" t="s">
        <v>16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89</v>
      </c>
      <c r="C836" s="3" t="s">
        <v>251</v>
      </c>
      <c r="D836" s="3"/>
      <c r="E836" s="3" t="s">
        <v>251</v>
      </c>
      <c r="F836" s="3"/>
      <c r="G836" s="3"/>
      <c r="H836" s="3"/>
      <c r="I836" s="3"/>
      <c r="J836" s="3"/>
      <c r="K836" s="3"/>
      <c r="L836" s="3" t="s">
        <v>90</v>
      </c>
      <c r="M836" s="3">
        <v>40</v>
      </c>
      <c r="N836" s="3" t="s">
        <v>105</v>
      </c>
      <c r="O836" s="3"/>
      <c r="P836" s="3"/>
      <c r="Q836" s="3">
        <v>0.29399999999999998</v>
      </c>
      <c r="R836" s="3" t="s">
        <v>106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89</v>
      </c>
      <c r="C837" s="3" t="s">
        <v>251</v>
      </c>
      <c r="D837" s="3"/>
      <c r="E837" s="3" t="s">
        <v>251</v>
      </c>
      <c r="F837" s="3"/>
      <c r="G837" s="3"/>
      <c r="H837" s="3"/>
      <c r="I837" s="3"/>
      <c r="J837" s="3"/>
      <c r="K837" s="3"/>
      <c r="L837" s="3" t="s">
        <v>90</v>
      </c>
      <c r="M837" s="3">
        <v>50</v>
      </c>
      <c r="N837" s="3" t="s">
        <v>107</v>
      </c>
      <c r="O837" s="3"/>
      <c r="P837" s="3"/>
      <c r="Q837" s="3">
        <v>12.598000000000001</v>
      </c>
      <c r="R837" s="3" t="s">
        <v>15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89</v>
      </c>
      <c r="C838" s="3" t="s">
        <v>251</v>
      </c>
      <c r="D838" s="3"/>
      <c r="E838" s="3" t="s">
        <v>251</v>
      </c>
      <c r="F838" s="3"/>
      <c r="G838" s="3"/>
      <c r="H838" s="3"/>
      <c r="I838" s="3"/>
      <c r="J838" s="3"/>
      <c r="K838" s="3"/>
      <c r="L838" s="3" t="s">
        <v>90</v>
      </c>
      <c r="M838" s="3">
        <v>60</v>
      </c>
      <c r="N838" s="3" t="s">
        <v>18</v>
      </c>
      <c r="O838" s="3"/>
      <c r="P838" s="3"/>
      <c r="Q838" s="3">
        <v>77.48</v>
      </c>
      <c r="R838" s="3" t="s">
        <v>15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89</v>
      </c>
      <c r="C839" s="3" t="s">
        <v>251</v>
      </c>
      <c r="D839" s="3"/>
      <c r="E839" s="3" t="s">
        <v>251</v>
      </c>
      <c r="F839" s="3"/>
      <c r="G839" s="3"/>
      <c r="H839" s="3"/>
      <c r="I839" s="3"/>
      <c r="J839" s="3"/>
      <c r="K839" s="3"/>
      <c r="L839" s="3" t="s">
        <v>90</v>
      </c>
      <c r="M839" s="3">
        <v>70</v>
      </c>
      <c r="N839" s="3" t="s">
        <v>113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89</v>
      </c>
      <c r="C840" s="3" t="s">
        <v>251</v>
      </c>
      <c r="D840" s="3"/>
      <c r="E840" s="3" t="s">
        <v>251</v>
      </c>
      <c r="F840" s="3"/>
      <c r="G840" s="3"/>
      <c r="H840" s="3"/>
      <c r="I840" s="3"/>
      <c r="J840" s="3"/>
      <c r="K840" s="3"/>
      <c r="L840" s="3" t="s">
        <v>90</v>
      </c>
      <c r="M840" s="3">
        <v>80</v>
      </c>
      <c r="N840" s="3" t="s">
        <v>21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89</v>
      </c>
      <c r="C841" s="3" t="s">
        <v>251</v>
      </c>
      <c r="D841" s="3"/>
      <c r="E841" s="3" t="s">
        <v>251</v>
      </c>
      <c r="F841" s="3"/>
      <c r="G841" s="3"/>
      <c r="H841" s="3"/>
      <c r="I841" s="3"/>
      <c r="J841" s="3"/>
      <c r="K841" s="3"/>
      <c r="L841" s="3" t="s">
        <v>90</v>
      </c>
      <c r="M841" s="3">
        <v>90</v>
      </c>
      <c r="N841" s="3" t="s">
        <v>22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89</v>
      </c>
      <c r="C842" s="3" t="s">
        <v>251</v>
      </c>
      <c r="D842" s="3"/>
      <c r="E842" s="3" t="s">
        <v>251</v>
      </c>
      <c r="F842" s="3"/>
      <c r="G842" s="3"/>
      <c r="H842" s="3"/>
      <c r="I842" s="3"/>
      <c r="J842" s="3"/>
      <c r="K842" s="3"/>
      <c r="L842" s="3" t="s">
        <v>90</v>
      </c>
      <c r="M842" s="3">
        <v>100</v>
      </c>
      <c r="N842" s="3" t="s">
        <v>23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89</v>
      </c>
      <c r="C843" s="3" t="s">
        <v>251</v>
      </c>
      <c r="D843" s="3"/>
      <c r="E843" s="3" t="s">
        <v>251</v>
      </c>
      <c r="F843" s="3"/>
      <c r="G843" s="3"/>
      <c r="H843" s="3"/>
      <c r="I843" s="3"/>
      <c r="J843" s="3"/>
      <c r="K843" s="3"/>
      <c r="L843" s="3" t="s">
        <v>90</v>
      </c>
      <c r="M843" s="3">
        <v>110</v>
      </c>
      <c r="N843" s="3" t="s">
        <v>111</v>
      </c>
      <c r="O843" s="3"/>
      <c r="P843" s="3"/>
      <c r="Q843" s="3">
        <v>1.27</v>
      </c>
      <c r="R843" s="3" t="s">
        <v>13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89</v>
      </c>
      <c r="C844" s="3" t="s">
        <v>251</v>
      </c>
      <c r="D844" s="3"/>
      <c r="E844" s="3" t="s">
        <v>251</v>
      </c>
      <c r="F844" s="3"/>
      <c r="G844" s="3"/>
      <c r="H844" s="3"/>
      <c r="I844" s="3"/>
      <c r="J844" s="3"/>
      <c r="K844" s="3"/>
      <c r="L844" s="3" t="s">
        <v>90</v>
      </c>
      <c r="M844" s="3">
        <v>120</v>
      </c>
      <c r="N844" s="3" t="s">
        <v>252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89</v>
      </c>
      <c r="C845" s="3" t="s">
        <v>253</v>
      </c>
      <c r="D845" s="3"/>
      <c r="E845" s="3" t="s">
        <v>253</v>
      </c>
      <c r="F845" s="3"/>
      <c r="G845" s="3"/>
      <c r="H845" s="3"/>
      <c r="I845" s="3"/>
      <c r="J845" s="3"/>
      <c r="K845" s="3"/>
      <c r="L845" s="3" t="s">
        <v>90</v>
      </c>
      <c r="M845" s="3">
        <v>10</v>
      </c>
      <c r="N845" s="3" t="s">
        <v>333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89</v>
      </c>
      <c r="C846" s="3" t="s">
        <v>253</v>
      </c>
      <c r="D846" s="3"/>
      <c r="E846" s="3" t="s">
        <v>253</v>
      </c>
      <c r="F846" s="3"/>
      <c r="G846" s="3"/>
      <c r="H846" s="3"/>
      <c r="I846" s="3"/>
      <c r="J846" s="3"/>
      <c r="K846" s="3"/>
      <c r="L846" s="3" t="s">
        <v>90</v>
      </c>
      <c r="M846" s="3">
        <v>20</v>
      </c>
      <c r="N846" s="3" t="s">
        <v>109</v>
      </c>
      <c r="O846" s="3"/>
      <c r="P846" s="3"/>
      <c r="Q846" s="3">
        <v>2.1589999999999998</v>
      </c>
      <c r="R846" s="3" t="s">
        <v>15</v>
      </c>
      <c r="S846" s="3"/>
      <c r="T846" s="3">
        <v>10</v>
      </c>
      <c r="U846" s="3"/>
      <c r="V846" s="3" t="s">
        <v>16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89</v>
      </c>
      <c r="C847" s="3" t="s">
        <v>253</v>
      </c>
      <c r="D847" s="3"/>
      <c r="E847" s="3" t="s">
        <v>253</v>
      </c>
      <c r="F847" s="3"/>
      <c r="G847" s="3"/>
      <c r="H847" s="3"/>
      <c r="I847" s="3"/>
      <c r="J847" s="3"/>
      <c r="K847" s="3"/>
      <c r="L847" s="3" t="s">
        <v>90</v>
      </c>
      <c r="M847" s="3">
        <v>30</v>
      </c>
      <c r="N847" s="3" t="s">
        <v>110</v>
      </c>
      <c r="O847" s="3"/>
      <c r="P847" s="3"/>
      <c r="Q847" s="3">
        <v>2.1589999999999998</v>
      </c>
      <c r="R847" s="3" t="s">
        <v>15</v>
      </c>
      <c r="S847" s="3"/>
      <c r="T847" s="3">
        <v>10</v>
      </c>
      <c r="U847" s="3"/>
      <c r="V847" s="3" t="s">
        <v>16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89</v>
      </c>
      <c r="C848" s="3" t="s">
        <v>253</v>
      </c>
      <c r="D848" s="3"/>
      <c r="E848" s="3" t="s">
        <v>253</v>
      </c>
      <c r="F848" s="3"/>
      <c r="G848" s="3"/>
      <c r="H848" s="3"/>
      <c r="I848" s="3"/>
      <c r="J848" s="3"/>
      <c r="K848" s="3"/>
      <c r="L848" s="3" t="s">
        <v>90</v>
      </c>
      <c r="M848" s="3">
        <v>40</v>
      </c>
      <c r="N848" s="3" t="s">
        <v>105</v>
      </c>
      <c r="O848" s="3"/>
      <c r="P848" s="3"/>
      <c r="Q848" s="3">
        <v>0.34499999999999997</v>
      </c>
      <c r="R848" s="3" t="s">
        <v>106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89</v>
      </c>
      <c r="C849" s="3" t="s">
        <v>253</v>
      </c>
      <c r="D849" s="3"/>
      <c r="E849" s="3" t="s">
        <v>253</v>
      </c>
      <c r="F849" s="3"/>
      <c r="G849" s="3"/>
      <c r="H849" s="3"/>
      <c r="I849" s="3"/>
      <c r="J849" s="3"/>
      <c r="K849" s="3"/>
      <c r="L849" s="3" t="s">
        <v>90</v>
      </c>
      <c r="M849" s="3">
        <v>50</v>
      </c>
      <c r="N849" s="3" t="s">
        <v>107</v>
      </c>
      <c r="O849" s="3"/>
      <c r="P849" s="3"/>
      <c r="Q849" s="3">
        <v>13.208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89</v>
      </c>
      <c r="C850" s="3" t="s">
        <v>253</v>
      </c>
      <c r="D850" s="3"/>
      <c r="E850" s="3" t="s">
        <v>253</v>
      </c>
      <c r="F850" s="3"/>
      <c r="G850" s="3"/>
      <c r="H850" s="3"/>
      <c r="I850" s="3"/>
      <c r="J850" s="3"/>
      <c r="K850" s="3"/>
      <c r="L850" s="3" t="s">
        <v>90</v>
      </c>
      <c r="M850" s="3">
        <v>60</v>
      </c>
      <c r="N850" s="3" t="s">
        <v>18</v>
      </c>
      <c r="O850" s="3"/>
      <c r="P850" s="3"/>
      <c r="Q850" s="3">
        <v>81.228999999999999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89</v>
      </c>
      <c r="C851" s="3" t="s">
        <v>253</v>
      </c>
      <c r="D851" s="3"/>
      <c r="E851" s="3" t="s">
        <v>253</v>
      </c>
      <c r="F851" s="3"/>
      <c r="G851" s="3"/>
      <c r="H851" s="3"/>
      <c r="I851" s="3"/>
      <c r="J851" s="3"/>
      <c r="K851" s="3"/>
      <c r="L851" s="3" t="s">
        <v>90</v>
      </c>
      <c r="M851" s="3">
        <v>70</v>
      </c>
      <c r="N851" s="3" t="s">
        <v>113</v>
      </c>
      <c r="O851" s="3"/>
      <c r="P851" s="3"/>
      <c r="Q851" s="3">
        <v>4</v>
      </c>
      <c r="R851" s="3" t="s">
        <v>11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89</v>
      </c>
      <c r="C852" s="3" t="s">
        <v>253</v>
      </c>
      <c r="D852" s="3"/>
      <c r="E852" s="3" t="s">
        <v>253</v>
      </c>
      <c r="F852" s="3"/>
      <c r="G852" s="3"/>
      <c r="H852" s="3"/>
      <c r="I852" s="3"/>
      <c r="J852" s="3"/>
      <c r="K852" s="3"/>
      <c r="L852" s="3" t="s">
        <v>90</v>
      </c>
      <c r="M852" s="3">
        <v>80</v>
      </c>
      <c r="N852" s="3" t="s">
        <v>21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89</v>
      </c>
      <c r="C853" s="3" t="s">
        <v>253</v>
      </c>
      <c r="D853" s="3"/>
      <c r="E853" s="3" t="s">
        <v>253</v>
      </c>
      <c r="F853" s="3"/>
      <c r="G853" s="3"/>
      <c r="H853" s="3"/>
      <c r="I853" s="3"/>
      <c r="J853" s="3"/>
      <c r="K853" s="3"/>
      <c r="L853" s="3" t="s">
        <v>90</v>
      </c>
      <c r="M853" s="3">
        <v>90</v>
      </c>
      <c r="N853" s="3" t="s">
        <v>22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89</v>
      </c>
      <c r="C854" s="3" t="s">
        <v>253</v>
      </c>
      <c r="D854" s="3"/>
      <c r="E854" s="3" t="s">
        <v>253</v>
      </c>
      <c r="F854" s="3"/>
      <c r="G854" s="3"/>
      <c r="H854" s="3"/>
      <c r="I854" s="3"/>
      <c r="J854" s="3"/>
      <c r="K854" s="3"/>
      <c r="L854" s="3" t="s">
        <v>90</v>
      </c>
      <c r="M854" s="3">
        <v>100</v>
      </c>
      <c r="N854" s="3" t="s">
        <v>23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89</v>
      </c>
      <c r="C855" s="3" t="s">
        <v>253</v>
      </c>
      <c r="D855" s="3"/>
      <c r="E855" s="3" t="s">
        <v>253</v>
      </c>
      <c r="F855" s="3"/>
      <c r="G855" s="3"/>
      <c r="H855" s="3"/>
      <c r="I855" s="3"/>
      <c r="J855" s="3"/>
      <c r="K855" s="3"/>
      <c r="L855" s="3" t="s">
        <v>90</v>
      </c>
      <c r="M855" s="3">
        <v>110</v>
      </c>
      <c r="N855" s="3" t="s">
        <v>111</v>
      </c>
      <c r="O855" s="3"/>
      <c r="P855" s="3"/>
      <c r="Q855" s="3">
        <v>1.27</v>
      </c>
      <c r="R855" s="3" t="s">
        <v>13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89</v>
      </c>
      <c r="C856" s="3" t="s">
        <v>253</v>
      </c>
      <c r="D856" s="3"/>
      <c r="E856" s="3" t="s">
        <v>253</v>
      </c>
      <c r="F856" s="3"/>
      <c r="G856" s="3"/>
      <c r="H856" s="3"/>
      <c r="I856" s="3"/>
      <c r="J856" s="3"/>
      <c r="K856" s="3"/>
      <c r="L856" s="3" t="s">
        <v>90</v>
      </c>
      <c r="M856" s="3">
        <v>120</v>
      </c>
      <c r="N856" s="3" t="s">
        <v>254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16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89</v>
      </c>
      <c r="C857" s="3" t="s">
        <v>255</v>
      </c>
      <c r="D857" s="3"/>
      <c r="E857" s="3" t="s">
        <v>255</v>
      </c>
      <c r="F857" s="3"/>
      <c r="G857" s="3"/>
      <c r="H857" s="3"/>
      <c r="I857" s="3"/>
      <c r="J857" s="3"/>
      <c r="K857" s="3"/>
      <c r="L857" s="3" t="s">
        <v>90</v>
      </c>
      <c r="M857" s="3">
        <v>10</v>
      </c>
      <c r="N857" s="3" t="s">
        <v>334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16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89</v>
      </c>
      <c r="C858" s="3" t="s">
        <v>255</v>
      </c>
      <c r="D858" s="3"/>
      <c r="E858" s="3" t="s">
        <v>255</v>
      </c>
      <c r="F858" s="3"/>
      <c r="G858" s="3"/>
      <c r="H858" s="3"/>
      <c r="I858" s="3"/>
      <c r="J858" s="3"/>
      <c r="K858" s="3"/>
      <c r="L858" s="3" t="s">
        <v>90</v>
      </c>
      <c r="M858" s="3">
        <v>20</v>
      </c>
      <c r="N858" s="3" t="s">
        <v>109</v>
      </c>
      <c r="O858" s="3"/>
      <c r="P858" s="3"/>
      <c r="Q858" s="3">
        <v>2.1589999999999998</v>
      </c>
      <c r="R858" s="3" t="s">
        <v>15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89</v>
      </c>
      <c r="C859" s="3" t="s">
        <v>255</v>
      </c>
      <c r="D859" s="3"/>
      <c r="E859" s="3" t="s">
        <v>255</v>
      </c>
      <c r="F859" s="3"/>
      <c r="G859" s="3"/>
      <c r="H859" s="3"/>
      <c r="I859" s="3"/>
      <c r="J859" s="3"/>
      <c r="K859" s="3"/>
      <c r="L859" s="3" t="s">
        <v>90</v>
      </c>
      <c r="M859" s="3">
        <v>30</v>
      </c>
      <c r="N859" s="3" t="s">
        <v>110</v>
      </c>
      <c r="O859" s="3"/>
      <c r="P859" s="3"/>
      <c r="Q859" s="3">
        <v>2.1589999999999998</v>
      </c>
      <c r="R859" s="3" t="s">
        <v>15</v>
      </c>
      <c r="S859" s="3"/>
      <c r="T859" s="3">
        <v>10</v>
      </c>
      <c r="U859" s="3"/>
      <c r="V859" s="3" t="s">
        <v>16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89</v>
      </c>
      <c r="C860" s="3" t="s">
        <v>255</v>
      </c>
      <c r="D860" s="3"/>
      <c r="E860" s="3" t="s">
        <v>255</v>
      </c>
      <c r="F860" s="3"/>
      <c r="G860" s="3"/>
      <c r="H860" s="3"/>
      <c r="I860" s="3"/>
      <c r="J860" s="3"/>
      <c r="K860" s="3"/>
      <c r="L860" s="3" t="s">
        <v>90</v>
      </c>
      <c r="M860" s="3">
        <v>40</v>
      </c>
      <c r="N860" s="3" t="s">
        <v>105</v>
      </c>
      <c r="O860" s="3"/>
      <c r="P860" s="3"/>
      <c r="Q860" s="3">
        <v>0.39500000000000002</v>
      </c>
      <c r="R860" s="3" t="s">
        <v>106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89</v>
      </c>
      <c r="C861" s="3" t="s">
        <v>255</v>
      </c>
      <c r="D861" s="3"/>
      <c r="E861" s="3" t="s">
        <v>255</v>
      </c>
      <c r="F861" s="3"/>
      <c r="G861" s="3"/>
      <c r="H861" s="3"/>
      <c r="I861" s="3"/>
      <c r="J861" s="3"/>
      <c r="K861" s="3"/>
      <c r="L861" s="3" t="s">
        <v>90</v>
      </c>
      <c r="M861" s="3">
        <v>50</v>
      </c>
      <c r="N861" s="3" t="s">
        <v>107</v>
      </c>
      <c r="O861" s="3"/>
      <c r="P861" s="3"/>
      <c r="Q861" s="3">
        <v>13.818</v>
      </c>
      <c r="R861" s="3" t="s">
        <v>15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89</v>
      </c>
      <c r="C862" s="3" t="s">
        <v>255</v>
      </c>
      <c r="D862" s="3"/>
      <c r="E862" s="3" t="s">
        <v>255</v>
      </c>
      <c r="F862" s="3"/>
      <c r="G862" s="3"/>
      <c r="H862" s="3"/>
      <c r="I862" s="3"/>
      <c r="J862" s="3"/>
      <c r="K862" s="3"/>
      <c r="L862" s="3" t="s">
        <v>90</v>
      </c>
      <c r="M862" s="3">
        <v>60</v>
      </c>
      <c r="N862" s="3" t="s">
        <v>18</v>
      </c>
      <c r="O862" s="3"/>
      <c r="P862" s="3"/>
      <c r="Q862" s="3">
        <v>84.977999999999994</v>
      </c>
      <c r="R862" s="3" t="s">
        <v>15</v>
      </c>
      <c r="S862" s="3"/>
      <c r="T862" s="3">
        <v>10</v>
      </c>
      <c r="U862" s="3"/>
      <c r="V862" s="3" t="s">
        <v>14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89</v>
      </c>
      <c r="C863" s="3" t="s">
        <v>255</v>
      </c>
      <c r="D863" s="3"/>
      <c r="E863" s="3" t="s">
        <v>255</v>
      </c>
      <c r="F863" s="3"/>
      <c r="G863" s="3"/>
      <c r="H863" s="3"/>
      <c r="I863" s="3"/>
      <c r="J863" s="3"/>
      <c r="K863" s="3"/>
      <c r="L863" s="3" t="s">
        <v>90</v>
      </c>
      <c r="M863" s="3">
        <v>70</v>
      </c>
      <c r="N863" s="3" t="s">
        <v>113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89</v>
      </c>
      <c r="C864" s="3" t="s">
        <v>255</v>
      </c>
      <c r="D864" s="3"/>
      <c r="E864" s="3" t="s">
        <v>255</v>
      </c>
      <c r="F864" s="3"/>
      <c r="G864" s="3"/>
      <c r="H864" s="3"/>
      <c r="I864" s="3"/>
      <c r="J864" s="3"/>
      <c r="K864" s="3"/>
      <c r="L864" s="3" t="s">
        <v>90</v>
      </c>
      <c r="M864" s="3">
        <v>80</v>
      </c>
      <c r="N864" s="3" t="s">
        <v>21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89</v>
      </c>
      <c r="C865" s="3" t="s">
        <v>255</v>
      </c>
      <c r="D865" s="3"/>
      <c r="E865" s="3" t="s">
        <v>255</v>
      </c>
      <c r="F865" s="3"/>
      <c r="G865" s="3"/>
      <c r="H865" s="3"/>
      <c r="I865" s="3"/>
      <c r="J865" s="3"/>
      <c r="K865" s="3"/>
      <c r="L865" s="3" t="s">
        <v>90</v>
      </c>
      <c r="M865" s="3">
        <v>90</v>
      </c>
      <c r="N865" s="3" t="s">
        <v>22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89</v>
      </c>
      <c r="C866" s="3" t="s">
        <v>255</v>
      </c>
      <c r="D866" s="3"/>
      <c r="E866" s="3" t="s">
        <v>255</v>
      </c>
      <c r="F866" s="3"/>
      <c r="G866" s="3"/>
      <c r="H866" s="3"/>
      <c r="I866" s="3"/>
      <c r="J866" s="3"/>
      <c r="K866" s="3"/>
      <c r="L866" s="3" t="s">
        <v>90</v>
      </c>
      <c r="M866" s="3">
        <v>100</v>
      </c>
      <c r="N866" s="3" t="s">
        <v>23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89</v>
      </c>
      <c r="C867" s="3" t="s">
        <v>255</v>
      </c>
      <c r="D867" s="3"/>
      <c r="E867" s="3" t="s">
        <v>255</v>
      </c>
      <c r="F867" s="3"/>
      <c r="G867" s="3"/>
      <c r="H867" s="3"/>
      <c r="I867" s="3"/>
      <c r="J867" s="3"/>
      <c r="K867" s="3"/>
      <c r="L867" s="3" t="s">
        <v>90</v>
      </c>
      <c r="M867" s="3">
        <v>110</v>
      </c>
      <c r="N867" s="3" t="s">
        <v>111</v>
      </c>
      <c r="O867" s="3"/>
      <c r="P867" s="3"/>
      <c r="Q867" s="3">
        <v>1.27</v>
      </c>
      <c r="R867" s="3" t="s">
        <v>13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89</v>
      </c>
      <c r="C868" s="3" t="s">
        <v>255</v>
      </c>
      <c r="D868" s="3"/>
      <c r="E868" s="3" t="s">
        <v>255</v>
      </c>
      <c r="F868" s="3"/>
      <c r="G868" s="3"/>
      <c r="H868" s="3"/>
      <c r="I868" s="3"/>
      <c r="J868" s="3"/>
      <c r="K868" s="3"/>
      <c r="L868" s="3" t="s">
        <v>90</v>
      </c>
      <c r="M868" s="3">
        <v>120</v>
      </c>
      <c r="N868" s="3" t="s">
        <v>256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16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89</v>
      </c>
      <c r="C869" s="3" t="s">
        <v>257</v>
      </c>
      <c r="D869" s="3"/>
      <c r="E869" s="3" t="s">
        <v>257</v>
      </c>
      <c r="F869" s="3"/>
      <c r="G869" s="3"/>
      <c r="H869" s="3"/>
      <c r="I869" s="3"/>
      <c r="J869" s="3"/>
      <c r="K869" s="3"/>
      <c r="L869" s="3" t="s">
        <v>90</v>
      </c>
      <c r="M869" s="3">
        <v>10</v>
      </c>
      <c r="N869" s="3" t="s">
        <v>335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16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89</v>
      </c>
      <c r="C870" s="3" t="s">
        <v>257</v>
      </c>
      <c r="D870" s="3"/>
      <c r="E870" s="3" t="s">
        <v>257</v>
      </c>
      <c r="F870" s="3"/>
      <c r="G870" s="3"/>
      <c r="H870" s="3"/>
      <c r="I870" s="3"/>
      <c r="J870" s="3"/>
      <c r="K870" s="3"/>
      <c r="L870" s="3" t="s">
        <v>90</v>
      </c>
      <c r="M870" s="3">
        <v>20</v>
      </c>
      <c r="N870" s="3" t="s">
        <v>109</v>
      </c>
      <c r="O870" s="3"/>
      <c r="P870" s="3"/>
      <c r="Q870" s="3">
        <v>2.1589999999999998</v>
      </c>
      <c r="R870" s="3" t="s">
        <v>15</v>
      </c>
      <c r="S870" s="3"/>
      <c r="T870" s="3">
        <v>10</v>
      </c>
      <c r="U870" s="3"/>
      <c r="V870" s="3" t="s">
        <v>16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89</v>
      </c>
      <c r="C871" s="3" t="s">
        <v>257</v>
      </c>
      <c r="D871" s="3"/>
      <c r="E871" s="3" t="s">
        <v>257</v>
      </c>
      <c r="F871" s="3"/>
      <c r="G871" s="3"/>
      <c r="H871" s="3"/>
      <c r="I871" s="3"/>
      <c r="J871" s="3"/>
      <c r="K871" s="3"/>
      <c r="L871" s="3" t="s">
        <v>90</v>
      </c>
      <c r="M871" s="3">
        <v>30</v>
      </c>
      <c r="N871" s="3" t="s">
        <v>110</v>
      </c>
      <c r="O871" s="3"/>
      <c r="P871" s="3"/>
      <c r="Q871" s="3">
        <v>2.1589999999999998</v>
      </c>
      <c r="R871" s="3" t="s">
        <v>15</v>
      </c>
      <c r="S871" s="3"/>
      <c r="T871" s="3">
        <v>10</v>
      </c>
      <c r="U871" s="3"/>
      <c r="V871" s="3" t="s">
        <v>16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89</v>
      </c>
      <c r="C872" s="3" t="s">
        <v>257</v>
      </c>
      <c r="D872" s="3"/>
      <c r="E872" s="3" t="s">
        <v>257</v>
      </c>
      <c r="F872" s="3"/>
      <c r="G872" s="3"/>
      <c r="H872" s="3"/>
      <c r="I872" s="3"/>
      <c r="J872" s="3"/>
      <c r="K872" s="3"/>
      <c r="L872" s="3" t="s">
        <v>90</v>
      </c>
      <c r="M872" s="3">
        <v>40</v>
      </c>
      <c r="N872" s="3" t="s">
        <v>105</v>
      </c>
      <c r="O872" s="3"/>
      <c r="P872" s="3"/>
      <c r="Q872" s="3">
        <v>0.496</v>
      </c>
      <c r="R872" s="3" t="s">
        <v>106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89</v>
      </c>
      <c r="C873" s="3" t="s">
        <v>257</v>
      </c>
      <c r="D873" s="3"/>
      <c r="E873" s="3" t="s">
        <v>257</v>
      </c>
      <c r="F873" s="3"/>
      <c r="G873" s="3"/>
      <c r="H873" s="3"/>
      <c r="I873" s="3"/>
      <c r="J873" s="3"/>
      <c r="K873" s="3"/>
      <c r="L873" s="3" t="s">
        <v>90</v>
      </c>
      <c r="M873" s="3">
        <v>50</v>
      </c>
      <c r="N873" s="3" t="s">
        <v>107</v>
      </c>
      <c r="O873" s="3"/>
      <c r="P873" s="3"/>
      <c r="Q873" s="3">
        <v>15.037000000000001</v>
      </c>
      <c r="R873" s="3" t="s">
        <v>15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89</v>
      </c>
      <c r="C874" s="3" t="s">
        <v>257</v>
      </c>
      <c r="D874" s="3"/>
      <c r="E874" s="3" t="s">
        <v>257</v>
      </c>
      <c r="F874" s="3"/>
      <c r="G874" s="3"/>
      <c r="H874" s="3"/>
      <c r="I874" s="3"/>
      <c r="J874" s="3"/>
      <c r="K874" s="3"/>
      <c r="L874" s="3" t="s">
        <v>90</v>
      </c>
      <c r="M874" s="3">
        <v>60</v>
      </c>
      <c r="N874" s="3" t="s">
        <v>18</v>
      </c>
      <c r="O874" s="3"/>
      <c r="P874" s="3"/>
      <c r="Q874" s="3">
        <v>92.475999999999999</v>
      </c>
      <c r="R874" s="3" t="s">
        <v>15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89</v>
      </c>
      <c r="C875" s="3" t="s">
        <v>257</v>
      </c>
      <c r="D875" s="3"/>
      <c r="E875" s="3" t="s">
        <v>257</v>
      </c>
      <c r="F875" s="3"/>
      <c r="G875" s="3"/>
      <c r="H875" s="3"/>
      <c r="I875" s="3"/>
      <c r="J875" s="3"/>
      <c r="K875" s="3"/>
      <c r="L875" s="3" t="s">
        <v>90</v>
      </c>
      <c r="M875" s="3">
        <v>70</v>
      </c>
      <c r="N875" s="3" t="s">
        <v>113</v>
      </c>
      <c r="O875" s="3"/>
      <c r="P875" s="3"/>
      <c r="Q875" s="3">
        <v>4</v>
      </c>
      <c r="R875" s="3" t="s">
        <v>11</v>
      </c>
      <c r="S875" s="3"/>
      <c r="T875" s="3">
        <v>10</v>
      </c>
      <c r="U875" s="3"/>
      <c r="V875" s="3" t="s">
        <v>14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89</v>
      </c>
      <c r="C876" s="3" t="s">
        <v>257</v>
      </c>
      <c r="D876" s="3"/>
      <c r="E876" s="3" t="s">
        <v>257</v>
      </c>
      <c r="F876" s="3"/>
      <c r="G876" s="3"/>
      <c r="H876" s="3"/>
      <c r="I876" s="3"/>
      <c r="J876" s="3"/>
      <c r="K876" s="3"/>
      <c r="L876" s="3" t="s">
        <v>90</v>
      </c>
      <c r="M876" s="3">
        <v>80</v>
      </c>
      <c r="N876" s="3" t="s">
        <v>21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89</v>
      </c>
      <c r="C877" s="3" t="s">
        <v>257</v>
      </c>
      <c r="D877" s="3"/>
      <c r="E877" s="3" t="s">
        <v>257</v>
      </c>
      <c r="F877" s="3"/>
      <c r="G877" s="3"/>
      <c r="H877" s="3"/>
      <c r="I877" s="3"/>
      <c r="J877" s="3"/>
      <c r="K877" s="3"/>
      <c r="L877" s="3" t="s">
        <v>90</v>
      </c>
      <c r="M877" s="3">
        <v>90</v>
      </c>
      <c r="N877" s="3" t="s">
        <v>22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89</v>
      </c>
      <c r="C878" s="3" t="s">
        <v>257</v>
      </c>
      <c r="D878" s="3"/>
      <c r="E878" s="3" t="s">
        <v>257</v>
      </c>
      <c r="F878" s="3"/>
      <c r="G878" s="3"/>
      <c r="H878" s="3"/>
      <c r="I878" s="3"/>
      <c r="J878" s="3"/>
      <c r="K878" s="3"/>
      <c r="L878" s="3" t="s">
        <v>90</v>
      </c>
      <c r="M878" s="3">
        <v>100</v>
      </c>
      <c r="N878" s="3" t="s">
        <v>23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89</v>
      </c>
      <c r="C879" s="3" t="s">
        <v>257</v>
      </c>
      <c r="D879" s="3"/>
      <c r="E879" s="3" t="s">
        <v>257</v>
      </c>
      <c r="F879" s="3"/>
      <c r="G879" s="3"/>
      <c r="H879" s="3"/>
      <c r="I879" s="3"/>
      <c r="J879" s="3"/>
      <c r="K879" s="3"/>
      <c r="L879" s="3" t="s">
        <v>90</v>
      </c>
      <c r="M879" s="3">
        <v>110</v>
      </c>
      <c r="N879" s="3" t="s">
        <v>111</v>
      </c>
      <c r="O879" s="3"/>
      <c r="P879" s="3"/>
      <c r="Q879" s="3">
        <v>1.27</v>
      </c>
      <c r="R879" s="3" t="s">
        <v>13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89</v>
      </c>
      <c r="C880" s="3" t="s">
        <v>257</v>
      </c>
      <c r="D880" s="3"/>
      <c r="E880" s="3" t="s">
        <v>257</v>
      </c>
      <c r="F880" s="3"/>
      <c r="G880" s="3"/>
      <c r="H880" s="3"/>
      <c r="I880" s="3"/>
      <c r="J880" s="3"/>
      <c r="K880" s="3"/>
      <c r="L880" s="3" t="s">
        <v>90</v>
      </c>
      <c r="M880" s="3">
        <v>120</v>
      </c>
      <c r="N880" s="3" t="s">
        <v>258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16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89</v>
      </c>
      <c r="C881" s="3" t="s">
        <v>259</v>
      </c>
      <c r="D881" s="3"/>
      <c r="E881" s="3" t="s">
        <v>259</v>
      </c>
      <c r="F881" s="3"/>
      <c r="G881" s="3"/>
      <c r="H881" s="3"/>
      <c r="I881" s="3"/>
      <c r="J881" s="3"/>
      <c r="K881" s="3"/>
      <c r="L881" s="3" t="s">
        <v>90</v>
      </c>
      <c r="M881" s="3">
        <v>10</v>
      </c>
      <c r="N881" s="3" t="s">
        <v>336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16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89</v>
      </c>
      <c r="C882" s="3" t="s">
        <v>259</v>
      </c>
      <c r="D882" s="3"/>
      <c r="E882" s="3" t="s">
        <v>259</v>
      </c>
      <c r="F882" s="3"/>
      <c r="G882" s="3"/>
      <c r="H882" s="3"/>
      <c r="I882" s="3"/>
      <c r="J882" s="3"/>
      <c r="K882" s="3"/>
      <c r="L882" s="3" t="s">
        <v>90</v>
      </c>
      <c r="M882" s="3">
        <v>20</v>
      </c>
      <c r="N882" s="3" t="s">
        <v>109</v>
      </c>
      <c r="O882" s="3"/>
      <c r="P882" s="3"/>
      <c r="Q882" s="3">
        <v>2.1589999999999998</v>
      </c>
      <c r="R882" s="3" t="s">
        <v>15</v>
      </c>
      <c r="S882" s="3"/>
      <c r="T882" s="3">
        <v>10</v>
      </c>
      <c r="U882" s="3"/>
      <c r="V882" s="3" t="s">
        <v>16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89</v>
      </c>
      <c r="C883" s="3" t="s">
        <v>259</v>
      </c>
      <c r="D883" s="3"/>
      <c r="E883" s="3" t="s">
        <v>259</v>
      </c>
      <c r="F883" s="3"/>
      <c r="G883" s="3"/>
      <c r="H883" s="3"/>
      <c r="I883" s="3"/>
      <c r="J883" s="3"/>
      <c r="K883" s="3"/>
      <c r="L883" s="3" t="s">
        <v>90</v>
      </c>
      <c r="M883" s="3">
        <v>30</v>
      </c>
      <c r="N883" s="3" t="s">
        <v>110</v>
      </c>
      <c r="O883" s="3"/>
      <c r="P883" s="3"/>
      <c r="Q883" s="3">
        <v>2.1589999999999998</v>
      </c>
      <c r="R883" s="3" t="s">
        <v>15</v>
      </c>
      <c r="S883" s="3"/>
      <c r="T883" s="3">
        <v>10</v>
      </c>
      <c r="U883" s="3"/>
      <c r="V883" s="3" t="s">
        <v>16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89</v>
      </c>
      <c r="C884" s="3" t="s">
        <v>259</v>
      </c>
      <c r="D884" s="3"/>
      <c r="E884" s="3" t="s">
        <v>259</v>
      </c>
      <c r="F884" s="3"/>
      <c r="G884" s="3"/>
      <c r="H884" s="3"/>
      <c r="I884" s="3"/>
      <c r="J884" s="3"/>
      <c r="K884" s="3"/>
      <c r="L884" s="3" t="s">
        <v>90</v>
      </c>
      <c r="M884" s="3">
        <v>40</v>
      </c>
      <c r="N884" s="3" t="s">
        <v>105</v>
      </c>
      <c r="O884" s="3"/>
      <c r="P884" s="3"/>
      <c r="Q884" s="3">
        <v>0.54600000000000004</v>
      </c>
      <c r="R884" s="3" t="s">
        <v>106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89</v>
      </c>
      <c r="C885" s="3" t="s">
        <v>259</v>
      </c>
      <c r="D885" s="3"/>
      <c r="E885" s="3" t="s">
        <v>259</v>
      </c>
      <c r="F885" s="3"/>
      <c r="G885" s="3"/>
      <c r="H885" s="3"/>
      <c r="I885" s="3"/>
      <c r="J885" s="3"/>
      <c r="K885" s="3"/>
      <c r="L885" s="3" t="s">
        <v>90</v>
      </c>
      <c r="M885" s="3">
        <v>50</v>
      </c>
      <c r="N885" s="3" t="s">
        <v>107</v>
      </c>
      <c r="O885" s="3"/>
      <c r="P885" s="3"/>
      <c r="Q885" s="3">
        <v>15.646000000000001</v>
      </c>
      <c r="R885" s="3" t="s">
        <v>15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89</v>
      </c>
      <c r="C886" s="3" t="s">
        <v>259</v>
      </c>
      <c r="D886" s="3"/>
      <c r="E886" s="3" t="s">
        <v>259</v>
      </c>
      <c r="F886" s="3"/>
      <c r="G886" s="3"/>
      <c r="H886" s="3"/>
      <c r="I886" s="3"/>
      <c r="J886" s="3"/>
      <c r="K886" s="3"/>
      <c r="L886" s="3" t="s">
        <v>90</v>
      </c>
      <c r="M886" s="3">
        <v>60</v>
      </c>
      <c r="N886" s="3" t="s">
        <v>18</v>
      </c>
      <c r="O886" s="3"/>
      <c r="P886" s="3"/>
      <c r="Q886" s="3">
        <v>96.224999999999994</v>
      </c>
      <c r="R886" s="3" t="s">
        <v>15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89</v>
      </c>
      <c r="C887" s="3" t="s">
        <v>259</v>
      </c>
      <c r="D887" s="3"/>
      <c r="E887" s="3" t="s">
        <v>259</v>
      </c>
      <c r="F887" s="3"/>
      <c r="G887" s="3"/>
      <c r="H887" s="3"/>
      <c r="I887" s="3"/>
      <c r="J887" s="3"/>
      <c r="K887" s="3"/>
      <c r="L887" s="3" t="s">
        <v>90</v>
      </c>
      <c r="M887" s="3">
        <v>70</v>
      </c>
      <c r="N887" s="3" t="s">
        <v>113</v>
      </c>
      <c r="O887" s="3"/>
      <c r="P887" s="3"/>
      <c r="Q887" s="3">
        <v>4</v>
      </c>
      <c r="R887" s="3" t="s">
        <v>11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89</v>
      </c>
      <c r="C888" s="3" t="s">
        <v>259</v>
      </c>
      <c r="D888" s="3"/>
      <c r="E888" s="3" t="s">
        <v>259</v>
      </c>
      <c r="F888" s="3"/>
      <c r="G888" s="3"/>
      <c r="H888" s="3"/>
      <c r="I888" s="3"/>
      <c r="J888" s="3"/>
      <c r="K888" s="3"/>
      <c r="L888" s="3" t="s">
        <v>90</v>
      </c>
      <c r="M888" s="3">
        <v>80</v>
      </c>
      <c r="N888" s="3" t="s">
        <v>21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89</v>
      </c>
      <c r="C889" s="3" t="s">
        <v>259</v>
      </c>
      <c r="D889" s="3"/>
      <c r="E889" s="3" t="s">
        <v>259</v>
      </c>
      <c r="F889" s="3"/>
      <c r="G889" s="3"/>
      <c r="H889" s="3"/>
      <c r="I889" s="3"/>
      <c r="J889" s="3"/>
      <c r="K889" s="3"/>
      <c r="L889" s="3" t="s">
        <v>90</v>
      </c>
      <c r="M889" s="3">
        <v>90</v>
      </c>
      <c r="N889" s="3" t="s">
        <v>22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14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89</v>
      </c>
      <c r="C890" s="3" t="s">
        <v>259</v>
      </c>
      <c r="D890" s="3"/>
      <c r="E890" s="3" t="s">
        <v>259</v>
      </c>
      <c r="F890" s="3"/>
      <c r="G890" s="3"/>
      <c r="H890" s="3"/>
      <c r="I890" s="3"/>
      <c r="J890" s="3"/>
      <c r="K890" s="3"/>
      <c r="L890" s="3" t="s">
        <v>90</v>
      </c>
      <c r="M890" s="3">
        <v>100</v>
      </c>
      <c r="N890" s="3" t="s">
        <v>23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89</v>
      </c>
      <c r="C891" s="3" t="s">
        <v>259</v>
      </c>
      <c r="D891" s="3"/>
      <c r="E891" s="3" t="s">
        <v>259</v>
      </c>
      <c r="F891" s="3"/>
      <c r="G891" s="3"/>
      <c r="H891" s="3"/>
      <c r="I891" s="3"/>
      <c r="J891" s="3"/>
      <c r="K891" s="3"/>
      <c r="L891" s="3" t="s">
        <v>90</v>
      </c>
      <c r="M891" s="3">
        <v>110</v>
      </c>
      <c r="N891" s="3" t="s">
        <v>111</v>
      </c>
      <c r="O891" s="3"/>
      <c r="P891" s="3"/>
      <c r="Q891" s="3">
        <v>1.27</v>
      </c>
      <c r="R891" s="3" t="s">
        <v>13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89</v>
      </c>
      <c r="C892" s="3" t="s">
        <v>259</v>
      </c>
      <c r="D892" s="3"/>
      <c r="E892" s="3" t="s">
        <v>259</v>
      </c>
      <c r="F892" s="3"/>
      <c r="G892" s="3"/>
      <c r="H892" s="3"/>
      <c r="I892" s="3"/>
      <c r="J892" s="3"/>
      <c r="K892" s="3"/>
      <c r="L892" s="3" t="s">
        <v>90</v>
      </c>
      <c r="M892" s="3">
        <v>120</v>
      </c>
      <c r="N892" s="3" t="s">
        <v>260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16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89</v>
      </c>
      <c r="C893" s="3" t="s">
        <v>261</v>
      </c>
      <c r="D893" s="3"/>
      <c r="E893" s="3" t="s">
        <v>261</v>
      </c>
      <c r="F893" s="3"/>
      <c r="G893" s="3"/>
      <c r="H893" s="3"/>
      <c r="I893" s="3"/>
      <c r="J893" s="3"/>
      <c r="K893" s="3"/>
      <c r="L893" s="3" t="s">
        <v>90</v>
      </c>
      <c r="M893" s="3">
        <v>10</v>
      </c>
      <c r="N893" s="3" t="s">
        <v>337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16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89</v>
      </c>
      <c r="C894" s="3" t="s">
        <v>261</v>
      </c>
      <c r="D894" s="3"/>
      <c r="E894" s="3" t="s">
        <v>261</v>
      </c>
      <c r="F894" s="3"/>
      <c r="G894" s="3"/>
      <c r="H894" s="3"/>
      <c r="I894" s="3"/>
      <c r="J894" s="3"/>
      <c r="K894" s="3"/>
      <c r="L894" s="3" t="s">
        <v>90</v>
      </c>
      <c r="M894" s="3">
        <v>20</v>
      </c>
      <c r="N894" s="3" t="s">
        <v>109</v>
      </c>
      <c r="O894" s="3"/>
      <c r="P894" s="3"/>
      <c r="Q894" s="3">
        <v>2.1589999999999998</v>
      </c>
      <c r="R894" s="3" t="s">
        <v>15</v>
      </c>
      <c r="S894" s="3"/>
      <c r="T894" s="3">
        <v>10</v>
      </c>
      <c r="U894" s="3"/>
      <c r="V894" s="3" t="s">
        <v>16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89</v>
      </c>
      <c r="C895" s="3" t="s">
        <v>261</v>
      </c>
      <c r="D895" s="3"/>
      <c r="E895" s="3" t="s">
        <v>261</v>
      </c>
      <c r="F895" s="3"/>
      <c r="G895" s="3"/>
      <c r="H895" s="3"/>
      <c r="I895" s="3"/>
      <c r="J895" s="3"/>
      <c r="K895" s="3"/>
      <c r="L895" s="3" t="s">
        <v>90</v>
      </c>
      <c r="M895" s="3">
        <v>30</v>
      </c>
      <c r="N895" s="3" t="s">
        <v>110</v>
      </c>
      <c r="O895" s="3"/>
      <c r="P895" s="3"/>
      <c r="Q895" s="3">
        <v>2.1589999999999998</v>
      </c>
      <c r="R895" s="3" t="s">
        <v>15</v>
      </c>
      <c r="S895" s="3"/>
      <c r="T895" s="3">
        <v>10</v>
      </c>
      <c r="U895" s="3"/>
      <c r="V895" s="3" t="s">
        <v>16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89</v>
      </c>
      <c r="C896" s="3" t="s">
        <v>261</v>
      </c>
      <c r="D896" s="3"/>
      <c r="E896" s="3" t="s">
        <v>261</v>
      </c>
      <c r="F896" s="3"/>
      <c r="G896" s="3"/>
      <c r="H896" s="3"/>
      <c r="I896" s="3"/>
      <c r="J896" s="3"/>
      <c r="K896" s="3"/>
      <c r="L896" s="3" t="s">
        <v>90</v>
      </c>
      <c r="M896" s="3">
        <v>40</v>
      </c>
      <c r="N896" s="3" t="s">
        <v>105</v>
      </c>
      <c r="O896" s="3"/>
      <c r="P896" s="3"/>
      <c r="Q896" s="3">
        <v>0.59699999999999998</v>
      </c>
      <c r="R896" s="3" t="s">
        <v>106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89</v>
      </c>
      <c r="C897" s="3" t="s">
        <v>261</v>
      </c>
      <c r="D897" s="3"/>
      <c r="E897" s="3" t="s">
        <v>261</v>
      </c>
      <c r="F897" s="3"/>
      <c r="G897" s="3"/>
      <c r="H897" s="3"/>
      <c r="I897" s="3"/>
      <c r="J897" s="3"/>
      <c r="K897" s="3"/>
      <c r="L897" s="3" t="s">
        <v>90</v>
      </c>
      <c r="M897" s="3">
        <v>50</v>
      </c>
      <c r="N897" s="3" t="s">
        <v>107</v>
      </c>
      <c r="O897" s="3"/>
      <c r="P897" s="3"/>
      <c r="Q897" s="3">
        <v>16.256</v>
      </c>
      <c r="R897" s="3" t="s">
        <v>15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89</v>
      </c>
      <c r="C898" s="3" t="s">
        <v>261</v>
      </c>
      <c r="D898" s="3"/>
      <c r="E898" s="3" t="s">
        <v>261</v>
      </c>
      <c r="F898" s="3"/>
      <c r="G898" s="3"/>
      <c r="H898" s="3"/>
      <c r="I898" s="3"/>
      <c r="J898" s="3"/>
      <c r="K898" s="3"/>
      <c r="L898" s="3" t="s">
        <v>90</v>
      </c>
      <c r="M898" s="3">
        <v>60</v>
      </c>
      <c r="N898" s="3" t="s">
        <v>18</v>
      </c>
      <c r="O898" s="3"/>
      <c r="P898" s="3"/>
      <c r="Q898" s="3">
        <v>99.974000000000004</v>
      </c>
      <c r="R898" s="3" t="s">
        <v>15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89</v>
      </c>
      <c r="C899" s="3" t="s">
        <v>261</v>
      </c>
      <c r="D899" s="3"/>
      <c r="E899" s="3" t="s">
        <v>261</v>
      </c>
      <c r="F899" s="3"/>
      <c r="G899" s="3"/>
      <c r="H899" s="3"/>
      <c r="I899" s="3"/>
      <c r="J899" s="3"/>
      <c r="K899" s="3"/>
      <c r="L899" s="3" t="s">
        <v>90</v>
      </c>
      <c r="M899" s="3">
        <v>70</v>
      </c>
      <c r="N899" s="3" t="s">
        <v>113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89</v>
      </c>
      <c r="C900" s="3" t="s">
        <v>261</v>
      </c>
      <c r="D900" s="3"/>
      <c r="E900" s="3" t="s">
        <v>261</v>
      </c>
      <c r="F900" s="3"/>
      <c r="G900" s="3"/>
      <c r="H900" s="3"/>
      <c r="I900" s="3"/>
      <c r="J900" s="3"/>
      <c r="K900" s="3"/>
      <c r="L900" s="3" t="s">
        <v>90</v>
      </c>
      <c r="M900" s="3">
        <v>80</v>
      </c>
      <c r="N900" s="3" t="s">
        <v>21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89</v>
      </c>
      <c r="C901" s="3" t="s">
        <v>261</v>
      </c>
      <c r="D901" s="3"/>
      <c r="E901" s="3" t="s">
        <v>261</v>
      </c>
      <c r="F901" s="3"/>
      <c r="G901" s="3"/>
      <c r="H901" s="3"/>
      <c r="I901" s="3"/>
      <c r="J901" s="3"/>
      <c r="K901" s="3"/>
      <c r="L901" s="3" t="s">
        <v>90</v>
      </c>
      <c r="M901" s="3">
        <v>90</v>
      </c>
      <c r="N901" s="3" t="s">
        <v>22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14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89</v>
      </c>
      <c r="C902" s="3" t="s">
        <v>261</v>
      </c>
      <c r="D902" s="3"/>
      <c r="E902" s="3" t="s">
        <v>261</v>
      </c>
      <c r="F902" s="3"/>
      <c r="G902" s="3"/>
      <c r="H902" s="3"/>
      <c r="I902" s="3"/>
      <c r="J902" s="3"/>
      <c r="K902" s="3"/>
      <c r="L902" s="3" t="s">
        <v>90</v>
      </c>
      <c r="M902" s="3">
        <v>100</v>
      </c>
      <c r="N902" s="3" t="s">
        <v>23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89</v>
      </c>
      <c r="C903" s="3" t="s">
        <v>261</v>
      </c>
      <c r="D903" s="3"/>
      <c r="E903" s="3" t="s">
        <v>261</v>
      </c>
      <c r="F903" s="3"/>
      <c r="G903" s="3"/>
      <c r="H903" s="3"/>
      <c r="I903" s="3"/>
      <c r="J903" s="3"/>
      <c r="K903" s="3"/>
      <c r="L903" s="3" t="s">
        <v>90</v>
      </c>
      <c r="M903" s="3">
        <v>110</v>
      </c>
      <c r="N903" s="3" t="s">
        <v>111</v>
      </c>
      <c r="O903" s="3"/>
      <c r="P903" s="3"/>
      <c r="Q903" s="3">
        <v>1.27</v>
      </c>
      <c r="R903" s="3" t="s">
        <v>13</v>
      </c>
      <c r="S903" s="3"/>
      <c r="T903" s="3">
        <v>10</v>
      </c>
      <c r="U903" s="3"/>
      <c r="V903" s="3" t="s">
        <v>14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89</v>
      </c>
      <c r="C904" s="3" t="s">
        <v>261</v>
      </c>
      <c r="D904" s="3"/>
      <c r="E904" s="3" t="s">
        <v>261</v>
      </c>
      <c r="F904" s="3"/>
      <c r="G904" s="3"/>
      <c r="H904" s="3"/>
      <c r="I904" s="3"/>
      <c r="J904" s="3"/>
      <c r="K904" s="3"/>
      <c r="L904" s="3" t="s">
        <v>90</v>
      </c>
      <c r="M904" s="3">
        <v>120</v>
      </c>
      <c r="N904" s="3" t="s">
        <v>262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2026-06-02T08:48:22Z</dcterms:modified>
</cp:coreProperties>
</file>